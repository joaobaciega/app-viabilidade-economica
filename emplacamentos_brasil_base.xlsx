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asmin Baciega\OneDrive\Documents\APP VIABILIDADE ECONOMICA PYTHON\"/>
    </mc:Choice>
  </mc:AlternateContent>
  <xr:revisionPtr revIDLastSave="0" documentId="8_{7C0E6BF3-73D7-4CC8-B1D2-1A27AC5CA607}" xr6:coauthVersionLast="47" xr6:coauthVersionMax="47" xr10:uidLastSave="{00000000-0000-0000-0000-000000000000}"/>
  <bookViews>
    <workbookView xWindow="-120" yWindow="-120" windowWidth="29040" windowHeight="15720" tabRatio="500" activeTab="3" xr2:uid="{00000000-000D-0000-FFFF-FFFF00000000}"/>
  </bookViews>
  <sheets>
    <sheet name="base" sheetId="1" r:id="rId1"/>
    <sheet name="fontes" sheetId="2" r:id="rId2"/>
    <sheet name="palhetas" sheetId="3" r:id="rId3"/>
    <sheet name="coleta_precos" sheetId="4" r:id="rId4"/>
    <sheet name="app_precos" sheetId="5" r:id="rId5"/>
  </sheets>
  <definedNames>
    <definedName name="_xlnm._FilterDatabase" localSheetId="4" hidden="1">app_precos!$A$1:$T$81</definedName>
    <definedName name="_xlnm._FilterDatabase" localSheetId="0" hidden="1">base!$A$1:$M$81</definedName>
    <definedName name="_xlnm._FilterDatabase" localSheetId="2" hidden="1">palhetas!$A$1:$Z$81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81" i="5" l="1"/>
  <c r="N81" i="5"/>
  <c r="S80" i="5"/>
  <c r="N80" i="5"/>
  <c r="S79" i="5"/>
  <c r="N79" i="5"/>
  <c r="S78" i="5"/>
  <c r="N78" i="5"/>
  <c r="S77" i="5"/>
  <c r="N77" i="5"/>
  <c r="S76" i="5"/>
  <c r="N76" i="5"/>
  <c r="S75" i="5"/>
  <c r="N75" i="5"/>
  <c r="S74" i="5"/>
  <c r="N74" i="5"/>
  <c r="S73" i="5"/>
  <c r="N73" i="5"/>
  <c r="S72" i="5"/>
  <c r="N72" i="5"/>
  <c r="S71" i="5"/>
  <c r="N71" i="5"/>
  <c r="S70" i="5"/>
  <c r="N70" i="5"/>
  <c r="S69" i="5"/>
  <c r="N69" i="5"/>
  <c r="S68" i="5"/>
  <c r="N68" i="5"/>
  <c r="S67" i="5"/>
  <c r="N67" i="5"/>
  <c r="S66" i="5"/>
  <c r="N66" i="5"/>
  <c r="S65" i="5"/>
  <c r="N65" i="5"/>
  <c r="S64" i="5"/>
  <c r="N64" i="5"/>
  <c r="S63" i="5"/>
  <c r="N63" i="5"/>
  <c r="S62" i="5"/>
  <c r="N62" i="5"/>
  <c r="S61" i="5"/>
  <c r="N61" i="5"/>
  <c r="S60" i="5"/>
  <c r="N60" i="5"/>
  <c r="S59" i="5"/>
  <c r="N59" i="5"/>
  <c r="S58" i="5"/>
  <c r="N58" i="5"/>
  <c r="S57" i="5"/>
  <c r="N57" i="5"/>
  <c r="S56" i="5"/>
  <c r="N56" i="5"/>
  <c r="S55" i="5"/>
  <c r="N55" i="5"/>
  <c r="S54" i="5"/>
  <c r="N54" i="5"/>
  <c r="S53" i="5"/>
  <c r="N53" i="5"/>
  <c r="S52" i="5"/>
  <c r="N52" i="5"/>
  <c r="S51" i="5"/>
  <c r="N51" i="5"/>
  <c r="S50" i="5"/>
  <c r="N50" i="5"/>
  <c r="S49" i="5"/>
  <c r="N49" i="5"/>
  <c r="S48" i="5"/>
  <c r="N48" i="5"/>
  <c r="S47" i="5"/>
  <c r="N47" i="5"/>
  <c r="S46" i="5"/>
  <c r="N46" i="5"/>
  <c r="S45" i="5"/>
  <c r="N45" i="5"/>
  <c r="S44" i="5"/>
  <c r="N44" i="5"/>
  <c r="S43" i="5"/>
  <c r="N43" i="5"/>
  <c r="S42" i="5"/>
  <c r="N42" i="5"/>
  <c r="S41" i="5"/>
  <c r="N41" i="5"/>
  <c r="S40" i="5"/>
  <c r="N40" i="5"/>
  <c r="S39" i="5"/>
  <c r="N39" i="5"/>
  <c r="S38" i="5"/>
  <c r="N38" i="5"/>
  <c r="S37" i="5"/>
  <c r="N37" i="5"/>
  <c r="S36" i="5"/>
  <c r="N36" i="5"/>
  <c r="S35" i="5"/>
  <c r="N35" i="5"/>
  <c r="S34" i="5"/>
  <c r="N34" i="5"/>
  <c r="S33" i="5"/>
  <c r="N33" i="5"/>
  <c r="S32" i="5"/>
  <c r="N32" i="5"/>
  <c r="S31" i="5"/>
  <c r="N31" i="5"/>
  <c r="S30" i="5"/>
  <c r="N30" i="5"/>
  <c r="S29" i="5"/>
  <c r="N29" i="5"/>
  <c r="S28" i="5"/>
  <c r="N28" i="5"/>
  <c r="S27" i="5"/>
  <c r="N27" i="5"/>
  <c r="S26" i="5"/>
  <c r="N26" i="5"/>
  <c r="S25" i="5"/>
  <c r="N25" i="5"/>
  <c r="S24" i="5"/>
  <c r="N24" i="5"/>
  <c r="S23" i="5"/>
  <c r="N23" i="5"/>
  <c r="S22" i="5"/>
  <c r="N22" i="5"/>
  <c r="S21" i="5"/>
  <c r="N21" i="5"/>
  <c r="S20" i="5"/>
  <c r="N20" i="5"/>
  <c r="S19" i="5"/>
  <c r="N19" i="5"/>
  <c r="S18" i="5"/>
  <c r="N18" i="5"/>
  <c r="S17" i="5"/>
  <c r="N17" i="5"/>
  <c r="S16" i="5"/>
  <c r="N16" i="5"/>
  <c r="S15" i="5"/>
  <c r="N15" i="5"/>
  <c r="S14" i="5"/>
  <c r="N14" i="5"/>
  <c r="S13" i="5"/>
  <c r="N13" i="5"/>
  <c r="S12" i="5"/>
  <c r="N12" i="5"/>
  <c r="S11" i="5"/>
  <c r="N11" i="5"/>
  <c r="S10" i="5"/>
  <c r="N10" i="5"/>
  <c r="S9" i="5"/>
  <c r="N9" i="5"/>
  <c r="S8" i="5"/>
  <c r="N8" i="5"/>
  <c r="S7" i="5"/>
  <c r="N7" i="5"/>
  <c r="S6" i="5"/>
  <c r="N6" i="5"/>
  <c r="S5" i="5"/>
  <c r="N5" i="5"/>
  <c r="S4" i="5"/>
  <c r="N4" i="5"/>
  <c r="S3" i="5"/>
  <c r="N3" i="5"/>
  <c r="S2" i="5"/>
  <c r="N2" i="5"/>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<sst xmlns="http://schemas.openxmlformats.org/spreadsheetml/2006/main" count="2177" uniqueCount="813">
  <si>
    <t>marca</t>
  </si>
  <si>
    <t>modelo</t>
  </si>
  <si>
    <t>categoria</t>
  </si>
  <si>
    <t>posicao_na_marca</t>
  </si>
  <si>
    <t>emplacamentos_2026_ytd</t>
  </si>
  <si>
    <t>emplacamentos_2025_ytd</t>
  </si>
  <si>
    <t>emplacamentos_2025</t>
  </si>
  <si>
    <t>variacao_pct</t>
  </si>
  <si>
    <t>criterio</t>
  </si>
  <si>
    <t>fonte</t>
  </si>
  <si>
    <t>url</t>
  </si>
  <si>
    <t>data_consulta</t>
  </si>
  <si>
    <t>observacao</t>
  </si>
  <si>
    <t>Fiat</t>
  </si>
  <si>
    <t>Strada</t>
  </si>
  <si>
    <t>picape</t>
  </si>
  <si>
    <t>Emplacamentos totais (varejo + venda direta/frota), automóveis e comerciais leves, base Fenabrave. Ranking interno da marca por emplacamentos acumulados jan-jul/2026. variacao_pct = jan-jul/2026 vs jan-jul/2025 (mesma janela nos dois anos).</t>
  </si>
  <si>
    <t>Fenabrave - Informativo de Emplacamentos: Ed. 283 jul/2026 (col. emplacamentos_2026_ytd), Ed. 271 jul/2025 (col. emplacamentos_2025_ytd), Ed. 276 dez/2025 (col. emplacamentos_2025)</t>
  </si>
  <si>
    <t>https://www.fenabrave.org.br/portal/files/2026_07_02.pdf</t>
  </si>
  <si>
    <t>Ed. 283 traz 97.941 no ranking geral de comerciais leves e 97.938 na tabela do segmento Pick-up's Pequenas; adotado o ranking geral. Cobertura da marca na fonte: os modelos com número Fenabrave publicado somam 319.935 das 319.959 unidades da marca no acumulado jan-jul/2026 (99.99%). resíduo não aberto por modelo de 24 un.</t>
  </si>
  <si>
    <t>Argo</t>
  </si>
  <si>
    <t>hatch</t>
  </si>
  <si>
    <t>Cobertura da marca na fonte: os modelos com número Fenabrave publicado somam 319.935 das 319.959 unidades da marca no acumulado jan-jul/2026 (99.99%). resíduo não aberto por modelo de 24 un.</t>
  </si>
  <si>
    <t>Mobi</t>
  </si>
  <si>
    <t>Toro</t>
  </si>
  <si>
    <t>Pulse</t>
  </si>
  <si>
    <t>SUV</t>
  </si>
  <si>
    <t>Volkswagen</t>
  </si>
  <si>
    <t>Polo</t>
  </si>
  <si>
    <t>Cobertura da marca na fonte: os modelos com número Fenabrave publicado somam 263.830 das 266.877 unidades da marca no acumulado jan-jul/2026 (98.86%). resíduo não aberto por modelo de 3.047 un.</t>
  </si>
  <si>
    <t>T-Cross</t>
  </si>
  <si>
    <t>Tera</t>
  </si>
  <si>
    <t>Modelo lançado em 2025; o acumulado jan-jul/2025 (5.994) cobre poucos meses de venda, o que infla a variacao_pct. Cobertura da marca na fonte: os modelos com número Fenabrave publicado somam 263.830 das 266.877 unidades da marca no acumulado jan-jul/2026 (98.86%). resíduo não aberto por modelo de 3.047 un.</t>
  </si>
  <si>
    <t>Nivus</t>
  </si>
  <si>
    <t>Classificado pela Fenabrave no segmento Suv's. Cobertura da marca na fonte: os modelos com número Fenabrave publicado somam 263.830 das 266.877 unidades da marca no acumulado jan-jul/2026 (98.86%). resíduo não aberto por modelo de 3.047 un.</t>
  </si>
  <si>
    <t>Saveiro</t>
  </si>
  <si>
    <t>Divergências internas na própria Fenabrave: Ed. 283 28.588 (ranking geral) vs 28.587 (segmento); Ed. 276 67.752 (ranking geral) vs 67.751 (segmento). Adotado o ranking geral nos dois casos. Cobertura da marca na fonte: os modelos com número Fenabrave publicado somam 263.830 das 266.877 unidades da marca no acumulado jan-jul/2026 (98.86%). resíduo não aberto por modelo de 3.047 un.</t>
  </si>
  <si>
    <t>Chevrolet</t>
  </si>
  <si>
    <t>Onix</t>
  </si>
  <si>
    <t>A Fenabrave imprime a marca como GM; Onix e Onix Plus são linhas separadas na fonte e a separação foi mantida. Cobertura da marca na fonte: os modelos com número Fenabrave publicado somam 165.454 das 169.927 unidades da marca no acumulado jan-jul/2026 (97.37%). resíduo não aberto por modelo de 4.473 un.</t>
  </si>
  <si>
    <t>Tracker</t>
  </si>
  <si>
    <t>Cobertura da marca na fonte: os modelos com número Fenabrave publicado somam 165.454 das 169.927 unidades da marca no acumulado jan-jul/2026 (97.37%). resíduo não aberto por modelo de 4.473 un.</t>
  </si>
  <si>
    <t>Onix Plus</t>
  </si>
  <si>
    <t>sedã</t>
  </si>
  <si>
    <t>Linha separada do Onix hatch na fonte; separação mantida. Cobertura da marca na fonte: os modelos com número Fenabrave publicado somam 165.454 das 169.927 unidades da marca no acumulado jan-jul/2026 (97.37%). resíduo não aberto por modelo de 4.473 un.</t>
  </si>
  <si>
    <t>S10</t>
  </si>
  <si>
    <t>Spin</t>
  </si>
  <si>
    <t>minivan</t>
  </si>
  <si>
    <t>Classificado pela Fenabrave no segmento Grandcab. Cobertura da marca na fonte: os modelos com número Fenabrave publicado somam 165.454 das 169.927 unidades da marca no acumulado jan-jul/2026 (97.37%). resíduo não aberto por modelo de 4.473 un.</t>
  </si>
  <si>
    <t>Hyundai</t>
  </si>
  <si>
    <t>HB20</t>
  </si>
  <si>
    <t>Cobertura da marca na fonte: os modelos com número Fenabrave publicado somam 109.411 das 109.987 unidades da marca no acumulado jan-jul/2026 (99.48%). resíduo não aberto por modelo de 576 un.</t>
  </si>
  <si>
    <t>Creta</t>
  </si>
  <si>
    <t>HB20S</t>
  </si>
  <si>
    <t>Linha separada do HB20 hatch na fonte; separação mantida. Cobertura da marca na fonte: os modelos com número Fenabrave publicado somam 109.411 das 109.987 unidades da marca no acumulado jan-jul/2026 (99.48%). resíduo não aberto por modelo de 576 un.</t>
  </si>
  <si>
    <t>i20</t>
  </si>
  <si>
    <t>Não consta nas tabelas de segmento nem no ranking de modelos da Ed. 271 nem da Ed. 276; células de 2025 deixadas vazias por ausência de dado publicado, sem estimativa. Cobertura da marca na fonte: os modelos com número Fenabrave publicado somam 109.411 das 109.987 unidades da marca no acumulado jan-jul/2026 (99.48%). resíduo não aberto por modelo de 576 un.</t>
  </si>
  <si>
    <t>HR</t>
  </si>
  <si>
    <t>comercial leve</t>
  </si>
  <si>
    <t>Cobertura da marca na fonte: os modelos com número Fenabrave publicado somam 109.411 das 109.987 unidades da marca no acumulado jan-jul/2026 (99.48%). resíduo não aberto por modelo de 576 un. ATENÇÃO: o resíduo não publicado (576 un.) é maior que o número deste modelo (82 un.). logo esta posição pode estar incompleta: existe modelo da marca sem número publicado que poderia ficar à frente.</t>
  </si>
  <si>
    <t>Toyota</t>
  </si>
  <si>
    <t>Hilux</t>
  </si>
  <si>
    <t>Cobertura da marca na fonte: os modelos com número Fenabrave publicado somam 93.491 das 95.254 unidades da marca no acumulado jan-jul/2026 (98.15%). resíduo não aberto por modelo de 1.763 un.</t>
  </si>
  <si>
    <t>Corolla Cross</t>
  </si>
  <si>
    <t>Yaris Cross</t>
  </si>
  <si>
    <t>Não consta nas tabelas de segmento nem no ranking de modelos da Ed. 271 nem da Ed. 276; células de 2025 deixadas vazias por ausência de dado publicado, sem estimativa. Cobertura da marca na fonte: os modelos com número Fenabrave publicado somam 93.491 das 95.254 unidades da marca no acumulado jan-jul/2026 (98.15%). resíduo não aberto por modelo de 1.763 un.</t>
  </si>
  <si>
    <t>Corolla</t>
  </si>
  <si>
    <t>Ed. 283: 14.686 no ranking geral vs 14.685 na tabela do segmento Sedans médios; adotado o ranking geral. Cobertura da marca na fonte: os modelos com número Fenabrave publicado somam 93.491 das 95.254 unidades da marca no acumulado jan-jul/2026 (98.15%). resíduo não aberto por modelo de 1.763 un.</t>
  </si>
  <si>
    <t>Hilux SW4</t>
  </si>
  <si>
    <t>Classificado pela Fenabrave no segmento Suv's, não em picapes. Cobertura da marca na fonte: os modelos com número Fenabrave publicado somam 93.491 das 95.254 unidades da marca no acumulado jan-jul/2026 (98.15%). resíduo não aberto por modelo de 1.763 un.</t>
  </si>
  <si>
    <t>Renault</t>
  </si>
  <si>
    <t>Kwid</t>
  </si>
  <si>
    <t>A fonte lista também RENAULT/E-KWID (234 un. em jan-jul/2026) e uma versão furgão do Kwid (14 un.) como linhas separadas; a separação da fonte foi mantida e essas linhas não foram somadas aqui. Cobertura da marca na fonte: os modelos com número Fenabrave publicado somam 74.241 das 74.499 unidades da marca no acumulado jan-jul/2026 (99.65%). resíduo não aberto por modelo de 258 un.</t>
  </si>
  <si>
    <t>Kardian</t>
  </si>
  <si>
    <t>Cobertura da marca na fonte: os modelos com número Fenabrave publicado somam 74.241 das 74.499 unidades da marca no acumulado jan-jul/2026 (99.65%). resíduo não aberto por modelo de 258 un.</t>
  </si>
  <si>
    <t>Duster</t>
  </si>
  <si>
    <t>Boreal</t>
  </si>
  <si>
    <t>Modelo lançado no 2º semestre de 2025: não consta no acumulado jan-jul/2025 da Ed. 271, por isso a célula de 2025_ytd está vazia e variacao_pct não foi calculada. Cobertura da marca na fonte: os modelos com número Fenabrave publicado somam 74.241 das 74.499 unidades da marca no acumulado jan-jul/2026 (99.65%). resíduo não aberto por modelo de 258 un.</t>
  </si>
  <si>
    <t>Master</t>
  </si>
  <si>
    <t>Divergências internas na Fenabrave: Ed. 283 6.742 (ranking geral) vs 6.734 (segmento); Ed. 271 9.164 vs 9.158; Ed. 276 15.771 vs 15.760. Adotado o ranking geral nos três casos. Cobertura da marca na fonte: os modelos com número Fenabrave publicado somam 74.241 das 74.499 unidades da marca no acumulado jan-jul/2026 (99.65%). resíduo não aberto por modelo de 258 un.</t>
  </si>
  <si>
    <t>Jeep</t>
  </si>
  <si>
    <t>Compass</t>
  </si>
  <si>
    <t>Cobertura da marca na fonte: os modelos com número Fenabrave publicado somam 65.374 das 65.540 unidades da marca no acumulado jan-jul/2026 (99.75%). resíduo não aberto por modelo de 166 un.</t>
  </si>
  <si>
    <t>Renegade</t>
  </si>
  <si>
    <t>Commander</t>
  </si>
  <si>
    <t>BYD</t>
  </si>
  <si>
    <t>Dolphin Mini</t>
  </si>
  <si>
    <t>Cobertura da marca na fonte: os modelos com número Fenabrave publicado somam 120.911 das 122.475 unidades da marca no acumulado jan-jul/2026 (98.72%). resíduo não aberto por modelo de 1.564 un.</t>
  </si>
  <si>
    <t>Song</t>
  </si>
  <si>
    <t>A Fenabrave publica o Song em linha única; tabulações de imprensa separam Song Pro e Song Plus DM-i. Mantido o recorte da Fenabrave. Cobertura da marca na fonte: os modelos com número Fenabrave publicado somam 120.911 das 122.475 unidades da marca no acumulado jan-jul/2026 (98.72%). resíduo não aberto por modelo de 1.564 un.</t>
  </si>
  <si>
    <t>Dolphin</t>
  </si>
  <si>
    <t>King</t>
  </si>
  <si>
    <t>Yuan</t>
  </si>
  <si>
    <t>Honda</t>
  </si>
  <si>
    <t>HR-V</t>
  </si>
  <si>
    <t>Cobertura da marca na fonte: os modelos com número Fenabrave publicado somam 63.124 das 63.350 unidades da marca no acumulado jan-jul/2026 (99.64%). resíduo não aberto por modelo de 226 un.</t>
  </si>
  <si>
    <t>WR-V</t>
  </si>
  <si>
    <t>Modelo lançado no 2º semestre de 2025: não consta no acumulado jan-jul/2025 da Ed. 271, por isso a célula de 2025_ytd está vazia e variacao_pct não foi calculada. Cobertura da marca na fonte: os modelos com número Fenabrave publicado somam 63.124 das 63.350 unidades da marca no acumulado jan-jul/2026 (99.64%). resíduo não aberto por modelo de 226 un.</t>
  </si>
  <si>
    <t>City</t>
  </si>
  <si>
    <t>Linha separada do City hatch na fonte; separação mantida. Cobertura da marca na fonte: os modelos com número Fenabrave publicado somam 63.124 das 63.350 unidades da marca no acumulado jan-jul/2026 (99.64%). resíduo não aberto por modelo de 226 un.</t>
  </si>
  <si>
    <t>City Hatch</t>
  </si>
  <si>
    <t>Linha separada do City sedã na fonte; separação mantida. Cobertura da marca na fonte: os modelos com número Fenabrave publicado somam 63.124 das 63.350 unidades da marca no acumulado jan-jul/2026 (99.64%). resíduo não aberto por modelo de 226 un.</t>
  </si>
  <si>
    <t>Civic</t>
  </si>
  <si>
    <t>Cobertura da marca na fonte: os modelos com número Fenabrave publicado somam 63.124 das 63.350 unidades da marca no acumulado jan-jul/2026 (99.64%). resíduo não aberto por modelo de 226 un. ATENÇÃO: o resíduo não publicado (226 un.) é maior que o número deste modelo (34 un.). logo esta posição pode estar incompleta: existe modelo da marca sem número publicado que poderia ficar à frente.</t>
  </si>
  <si>
    <t>Nissan</t>
  </si>
  <si>
    <t>Kicks</t>
  </si>
  <si>
    <t>Cobertura da marca na fonte: os modelos com número Fenabrave publicado somam 43.494 das 43.497 unidades da marca no acumulado jan-jul/2026 (99.99%). resíduo não aberto por modelo de 3 un.</t>
  </si>
  <si>
    <t>Kait</t>
  </si>
  <si>
    <t>Modelo lançado em 2026: não consta na Ed. 271 nem na Ed. 276; células de 2025 vazias por ausência de dado, sem estimativa. Cobertura da marca na fonte: os modelos com número Fenabrave publicado somam 43.494 das 43.497 unidades da marca no acumulado jan-jul/2026 (99.99%). resíduo não aberto por modelo de 3 un.</t>
  </si>
  <si>
    <t>Versa</t>
  </si>
  <si>
    <t>Ed. 283 lista 4.241 em Sedans Compactos e 1 unidade sob o mesmo nome em Sedans Pequenos; adotado o valor do ranking geral (4.241). Cobertura da marca na fonte: os modelos com número Fenabrave publicado somam 43.494 das 43.497 unidades da marca no acumulado jan-jul/2026 (99.99%). resíduo não aberto por modelo de 3 un.</t>
  </si>
  <si>
    <t>Frontier</t>
  </si>
  <si>
    <t>Sentra</t>
  </si>
  <si>
    <t>CAOA Chery</t>
  </si>
  <si>
    <t>Tiggo 5X</t>
  </si>
  <si>
    <t>Cobertura da marca na fonte: os modelos com número Fenabrave publicado somam 44.360 das 44.367 unidades da marca no acumulado jan-jul/2026 (99.98%). resíduo não aberto por modelo de 7 un.</t>
  </si>
  <si>
    <t>Tiggo 7</t>
  </si>
  <si>
    <t>Tiggo 8</t>
  </si>
  <si>
    <t>Arrizo 6</t>
  </si>
  <si>
    <t>A marca tem apenas 4 modelos com número publicado, e eles cobrem 99,98% do total da marca: a lista de 5 modelos não existe na fonte e não foi completada. Cobertura da marca na fonte: os modelos com número Fenabrave publicado somam 44.360 das 44.367 unidades da marca no acumulado jan-jul/2026 (99.98%). resíduo não aberto por modelo de 7 un.</t>
  </si>
  <si>
    <t>Ford</t>
  </si>
  <si>
    <t>Ranger</t>
  </si>
  <si>
    <t>Cobertura da marca na fonte: os modelos com número Fenabrave publicado somam 31.010 das 32.421 unidades da marca no acumulado jan-jul/2026 (95.65%). resíduo não aberto por modelo de 1.411 un.</t>
  </si>
  <si>
    <t>Territory</t>
  </si>
  <si>
    <t>Maverick</t>
  </si>
  <si>
    <t>Transit</t>
  </si>
  <si>
    <t>Cobertura da marca na fonte: os modelos com número Fenabrave publicado somam 31.010 das 32.421 unidades da marca no acumulado jan-jul/2026 (95.65%). resíduo não aberto por modelo de 1.411 un. ATENÇÃO: o resíduo não publicado (1.411 un.) é maior que o número deste modelo (1.402 un.). logo esta posição pode estar incompleta: existe modelo da marca sem número publicado que poderia ficar à frente.</t>
  </si>
  <si>
    <t>F-150</t>
  </si>
  <si>
    <t>Cobertura da marca na fonte: os modelos com número Fenabrave publicado somam 31.010 das 32.421 unidades da marca no acumulado jan-jul/2026 (95.65%). resíduo não aberto por modelo de 1.411 un. ATENÇÃO: o resíduo não publicado (1.411 un.) é maior que o número deste modelo (702 un.). logo esta posição pode estar incompleta: existe modelo da marca sem número publicado que poderia ficar à frente.</t>
  </si>
  <si>
    <t>GWM</t>
  </si>
  <si>
    <t>Haval H6</t>
  </si>
  <si>
    <t>Cobertura da marca na fonte: os modelos com número Fenabrave publicado somam 42.210 das 44.515 unidades da marca no acumulado jan-jul/2026 (94.82%). resíduo não aberto por modelo de 2.305 un.</t>
  </si>
  <si>
    <t>Haval H9</t>
  </si>
  <si>
    <t>Modelo lançado no 2º semestre de 2025: não consta no acumulado jan-jul/2025 da Ed. 271, por isso a célula de 2025_ytd está vazia e variacao_pct não foi calculada. Cobertura da marca na fonte: os modelos com número Fenabrave publicado somam 42.210 das 44.515 unidades da marca no acumulado jan-jul/2026 (94.82%). resíduo não aberto por modelo de 2.305 un.</t>
  </si>
  <si>
    <t>Poer</t>
  </si>
  <si>
    <t>Não consta no acumulado jan-jul/2025 da Ed. 271 (a tabela de Pick-up's Grandes encerra na 11ª posição); célula de 2025_ytd vazia, sem estimativa. Cobertura da marca na fonte: os modelos com número Fenabrave publicado somam 42.210 das 44.515 unidades da marca no acumulado jan-jul/2026 (94.82%). resíduo não aberto por modelo de 2.305 un.</t>
  </si>
  <si>
    <t>Tank 300</t>
  </si>
  <si>
    <t>Ora 03</t>
  </si>
  <si>
    <t>Cobertura da marca na fonte: os modelos com número Fenabrave publicado somam 42.210 das 44.515 unidades da marca no acumulado jan-jul/2026 (94.82%). resíduo não aberto por modelo de 2.305 un. ATENÇÃO: o resíduo não publicado (2.305 un.) é maior que o número deste modelo (2.146 un.). logo esta posição pode estar incompleta: existe modelo da marca sem número publicado que poderia ficar à frente.</t>
  </si>
  <si>
    <t>RAM</t>
  </si>
  <si>
    <t>Rampage</t>
  </si>
  <si>
    <t>Cobertura da marca na fonte: os modelos com número Fenabrave publicado somam 18.119 das 18.119 unidades da marca no acumulado jan-jul/2026 (100.00%). resíduo não aberto por modelo de 0 un.</t>
  </si>
  <si>
    <t>Dakota</t>
  </si>
  <si>
    <t>Modelo lançado em 2026: não consta na Ed. 271 nem na Ed. 276; células de 2025 vazias por ausência de dado, sem estimativa. Cobertura da marca na fonte: os modelos com número Fenabrave publicado somam 18.119 das 18.119 unidades da marca no acumulado jan-jul/2026 (100.00%). resíduo não aberto por modelo de 0 un.</t>
  </si>
  <si>
    <t>3500</t>
  </si>
  <si>
    <t>A fonte separa as variantes 1500, 2500 e 3500 em linhas diferentes; separação mantida. Cobertura da marca na fonte: os modelos com número Fenabrave publicado somam 18.119 das 18.119 unidades da marca no acumulado jan-jul/2026 (100.00%). resíduo não aberto por modelo de 0 un.</t>
  </si>
  <si>
    <t>2500</t>
  </si>
  <si>
    <t>1500</t>
  </si>
  <si>
    <t>Mitsubishi</t>
  </si>
  <si>
    <t>Triton</t>
  </si>
  <si>
    <t>Cobertura da marca na fonte: os modelos com número Fenabrave publicado somam 11.711 das 12.398 unidades da marca no acumulado jan-jul/2026 (94.46%). resíduo não aberto por modelo de 687 un.</t>
  </si>
  <si>
    <t>Eclipse Cross</t>
  </si>
  <si>
    <t>L200</t>
  </si>
  <si>
    <t>Inconsistência na própria fonte: o acumulado jan-jul/2025 (4.250, Ed. 271) é MAIOR que o ano fechado de 2025 (3.561, Ed. 276), o que indica reclassificação de unidades entre L200 e Triton ao longo de 2025. Os dois números foram mantidos como publicados, sem correção. Cobertura da marca na fonte: os modelos com número Fenabrave publicado somam 11.711 das 12.398 unidades da marca no acumulado jan-jul/2026 (94.46%). resíduo não aberto por modelo de 687 un. ATENÇÃO: o resíduo não publicado (687 un.) é maior que o número deste modelo (86 un.). logo esta posição pode estar incompleta: existe modelo da marca sem número publicado que poderia ficar à frente.</t>
  </si>
  <si>
    <t>Peugeot</t>
  </si>
  <si>
    <t>2008</t>
  </si>
  <si>
    <t>Cobertura da marca na fonte: os modelos com número Fenabrave publicado somam 9.974 das 9.983 unidades da marca no acumulado jan-jul/2026 (99.91%). resíduo não aberto por modelo de 9 un.</t>
  </si>
  <si>
    <t>208</t>
  </si>
  <si>
    <t>Expert</t>
  </si>
  <si>
    <t>Boxer</t>
  </si>
  <si>
    <t>Partner</t>
  </si>
  <si>
    <t>Iveco</t>
  </si>
  <si>
    <t>Daily</t>
  </si>
  <si>
    <t>A fonte separa variantes do Daily em linhas diferentes (Daily, Daily 30-130, Daily 35-180); separação mantida, nada foi consolidado. Cobertura da marca na fonte: os modelos com número Fenabrave publicado somam 3.105 das 3.106 unidades da marca no acumulado jan-jul/2026 (99.97%). resíduo não aberto por modelo de 1 un.</t>
  </si>
  <si>
    <t>Daily 30-130</t>
  </si>
  <si>
    <t>A fonte separa variantes do Daily em linhas diferentes; separação mantida. Cobertura da marca na fonte: os modelos com número Fenabrave publicado somam 3.105 das 3.106 unidades da marca no acumulado jan-jul/2026 (99.97%). resíduo não aberto por modelo de 1 un.</t>
  </si>
  <si>
    <t>Daily 35-180</t>
  </si>
  <si>
    <t>Omoda Jaecoo</t>
  </si>
  <si>
    <t>Omoda 5</t>
  </si>
  <si>
    <t>A Fenabrave não publica este modelo em 2025 (a tabela de Suv's da Ed. 271 encerra na 40ª posição e a Ed. 276 também não o lista); células de 2025 vazias, sem estimativa. A Fenabrave trata Omoda e Jaecoo como marca única. Cobertura da marca na fonte: os modelos com número Fenabrave publicado somam 21.221 das 22.561 unidades da marca no acumulado jan-jul/2026 (94.06%). resíduo não aberto por modelo de 1.340 un.</t>
  </si>
  <si>
    <t>Jaecoo 7</t>
  </si>
  <si>
    <t>Marca com apenas 2 modelos publicados, cobrindo 94,1% do total da marca; os demais modelos da linha não têm número publicado e não foram estimados. Cobertura da marca na fonte: os modelos com número Fenabrave publicado somam 21.221 das 22.561 unidades da marca no acumulado jan-jul/2026 (94.06%). resíduo não aberto por modelo de 1.340 un.</t>
  </si>
  <si>
    <t>nome</t>
  </si>
  <si>
    <t>periodo_coberto</t>
  </si>
  <si>
    <t>data_publicacao</t>
  </si>
  <si>
    <t>o_que_foi_extraido</t>
  </si>
  <si>
    <t>Fenabrave — Informativo de Emplacamentos, Ed. 283 (referência julho/2026)</t>
  </si>
  <si>
    <t>jan-jul/2026 (acumulado) e jul/2026 (mês)</t>
  </si>
  <si>
    <t>Coluna emplacamentos_2026_ytd de todas as linhas da aba base. Extraídas as tabelas de modelos por segmento (Veículos de Entrada, Hatch Pequenos, Hatch Médios, Sedans Pequenos, Sedans Compactos, Sedans médios, Sedans Grandes, Sw Médios, Sw Grandes, Monocab, Grandcab, Sports, Suv's, Pick-up's Pequenas, Pick-up's Grandes, Furgões, Furgões Pequenos), o ranking de modelos acumulado (automóveis e comerciais leves, 50 posições cada lista) e o ranking de marcas acumulado jan-jul/2026 (21 posições), este último usado para calcular a cobertura por marca. Data impressa no documento: São Paulo, Agosto de 2026; PDF gerado em 2026-08-03.</t>
  </si>
  <si>
    <t>Fenabrave — Informativo de Emplacamentos, Ed. 271 (referência julho/2025)</t>
  </si>
  <si>
    <t>https://www.fenabrave.org.br/portal/files/2025_07_02.pdf</t>
  </si>
  <si>
    <t>jan-jul/2025 (acumulado) e jul/2025 (mês)</t>
  </si>
  <si>
    <t>Coluna emplacamentos_2025_ytd de todas as linhas da aba base. Mesmas tabelas de segmento e mesmo ranking de modelos acumulado, referentes a jan-jul/2025, mais o ranking de marcas jan-jul/2025 (21 posições). Data impressa: São Paulo, Agosto de 2025; PDF gerado em 2025-08-01.</t>
  </si>
  <si>
    <t>Fenabrave — Informativo de Emplacamentos, Ed. 276 (referência dezembro/2025)</t>
  </si>
  <si>
    <t>https://www.fenabrave.org.br/portal/files/2025_12_02.pdf</t>
  </si>
  <si>
    <t>jan-dez/2025 (ano fechado)</t>
  </si>
  <si>
    <t>Coluna emplacamentos_2025 (ano civil fechado) de todas as linhas da aba base, e o ranking de marcas de automóveis e comerciais leves do ano fechado de 2025 (21 posições), que é a base do corte de 5.000 unidades. Data impressa: São Paulo, Janeiro de 2026. ATENÇÃO ao abrir: a url responde HTTP 200 e baixa normalmente no navegador, mas alguns proxies e leitores de PDF devolvem 404 nela; se acontecer, a mesma edição está em https://online.fliphtml5.com/ordey/gayj/ (flipbook publicado pela própria Fenabrave).</t>
  </si>
  <si>
    <t>Fenabrave — Anuário 2025</t>
  </si>
  <si>
    <t>http://www.fenabrave.org.br/anuarios/Anuario2025.pdf</t>
  </si>
  <si>
    <t>ano civil 2025</t>
  </si>
  <si>
    <t>Conferência dos totais por marca de 2025 e confirmação de que o anuário cobre o ano civil 2025, não 2024. Nenhum número da aba base saiu daqui: o anuário não abre emplacamentos por modelo dentro de cada marca, traz apenas gráficos das 10 maiores marcas por segmento.</t>
  </si>
  <si>
    <t>Fenabrave — índice dos informativos de emplacamentos</t>
  </si>
  <si>
    <t>https://www.fenabrave.org.br/portalv2/Conteudo/emplacamentos</t>
  </si>
  <si>
    <t>2003 a 2026</t>
  </si>
  <si>
    <t>Localização das urls dos informativos mensais usados acima. Nenhum número extraído.</t>
  </si>
  <si>
    <t>CarroLens — Rankings Fenabrave</t>
  </si>
  <si>
    <t>https://carrolens.com.br/rankings/2026</t>
  </si>
  <si>
    <t>jan-jul/2026 e jul/2026</t>
  </si>
  <si>
    <t>Fonte secundária que tabula Fenabrave (declara a Ed. 283 como origem). Usada apenas para confirmar qual coluna do informativo é o acumulado do ano. Publica somente o top 50 de modelos e o top 10 de marcas, insuficiente para a base. Nenhum número da aba base saiu daqui.</t>
  </si>
  <si>
    <t>AUTOO — Marcas e veículos mais vendidos 2025</t>
  </si>
  <si>
    <t>https://www.autoo.com.br/emplacamentos/marcas-mais-vendidas/2025/</t>
  </si>
  <si>
    <t>ano 2025</t>
  </si>
  <si>
    <t>FONTE CONSULTADA E DESCARTADA PARA A BASE. Tem a cauda de marcas e modelos que a Fenabrave não publica, mas não declara a Fenabrave (nem Renavam ou Detran) como origem do número. Nenhum número dela entrou na aba base. Aparece nos blocos abaixo apenas como referência auxiliar, sempre rotulada como NÃO-Fenabrave.</t>
  </si>
  <si>
    <t>CNN Brasil Auto / Autopapo — carros mais vendidos de 2025</t>
  </si>
  <si>
    <t>https://www.cnnbrasil.com.br/auto/conheca-os-30-carros-mais-vendidos-no-brasil-em-2025/</t>
  </si>
  <si>
    <t>FONTE CONSULTADA E DESCARTADA. Declara explicitamente a consultoria K.LUME como origem, não a Fenabrave, e usa recorte de modelo diferente (separa BYD Song Pro e Song Plus DM-i, separa Mitsubishi Triton e L200 Triton). Nenhum número dela entrou na aba base.</t>
  </si>
  <si>
    <t>MARCAS ABAIXO DO CORTE DE 5.000 EMPLACAMENTOS NO ANO FECHADO DE 2025 (fora da aba base)</t>
  </si>
  <si>
    <t>origem_do_numero</t>
  </si>
  <si>
    <t>Audi</t>
  </si>
  <si>
    <t>NÃO-Fenabrave (AUTOO)</t>
  </si>
  <si>
    <t>Provavelmente ACIMA do corte, mas a Fenabrave não publica a marca — o ranking de marcas encerra na 21ª posição. Sem número Fenabrave não foi possível confirmar o corte, por isso ficou fora da base.</t>
  </si>
  <si>
    <t>Kia</t>
  </si>
  <si>
    <t>Fenabrave (Ed. 276, ranking de comerciais leves)</t>
  </si>
  <si>
    <t>CORTE INDETERMINADO, não confirmado abaixo de 5.000. A Fenabrave publica 3.072 un. de comerciais leves (K2500 + UK2500) e não publica o volume de automóveis da marca, que necessariamente é menor que 5.522 un. (21º do ranking de automóveis). O total pode ficar acima ou abaixo de 5.000 e não há número Fenabrave que decida. A AUTOO dá 4.400 no total, mas não declara Fenabrave. A marca ficou fora da base por indefinição do corte, não por estar comprovadamente abaixo dele.</t>
  </si>
  <si>
    <t>Geely</t>
  </si>
  <si>
    <t>Fenabrave (Anuário 2025, tabela de eletrificados)</t>
  </si>
  <si>
    <t>O único número Fenabrave disponível é de eletrificados, não do total da marca; a AUTOO dá 3.368 no total. Abaixo do corte nas duas leituras. Note que em jan-jul/2026 a Geely já é a 14ª marca do país, com 25.601 un., ou seja, entraria com folga num corte baseado em 2026.</t>
  </si>
  <si>
    <t>GAC</t>
  </si>
  <si>
    <t>Abaixo do corte em 2025. Em jan-jul/2026 aparece em 21º no ranking Fenabrave, com 6.891 un.</t>
  </si>
  <si>
    <t>Land Rover</t>
  </si>
  <si>
    <t>Abaixo do corte.</t>
  </si>
  <si>
    <t>Effa</t>
  </si>
  <si>
    <t>Fenabrave (Ed. 276, comerciais leves)</t>
  </si>
  <si>
    <t>VW Truck e Bus (leves)</t>
  </si>
  <si>
    <t>A Fenabrave trata como marca separada da Volkswagen. Abaixo do corte.</t>
  </si>
  <si>
    <t>Mini</t>
  </si>
  <si>
    <t>Suzuki</t>
  </si>
  <si>
    <t>Lexus</t>
  </si>
  <si>
    <t>Foton</t>
  </si>
  <si>
    <t>JAC</t>
  </si>
  <si>
    <t>Leapmotor</t>
  </si>
  <si>
    <t>Abaixo do corte em 2025. Em jan-jul/2026 aparece em 21º no ranking Fenabrave de automóveis, com 4.942 un.</t>
  </si>
  <si>
    <t>Zeekr</t>
  </si>
  <si>
    <t>Shineray</t>
  </si>
  <si>
    <t>Outras marcas abaixo de 500 un. em 2025</t>
  </si>
  <si>
    <t>NÃO-Fenabrave (AUTOO / CarBlog)</t>
  </si>
  <si>
    <t>Neta 208, Cadillac 144, MG 89, Fever 86, Riddara 80, Subaru 75, Ferrari 61, Lamborghini 39, Denza 38, Tesla 30, Seres 26, McLaren 18, Jaguar 17, Aston Martin 16, Alfa Romeo 15, Hitech-E 15, Bentley 12, Rolls-Royce 8, Maserati 1. Todas muito abaixo do corte.</t>
  </si>
  <si>
    <t>CAOA Changan</t>
  </si>
  <si>
    <t>—</t>
  </si>
  <si>
    <t>Sem número de 2025 em nenhuma fonte: a marca começou a vender no Brasil em 2026. Em jan-jul/2026 já tem 3.525 un. só no Unit-T, mas isso é fora da janela do corte.</t>
  </si>
  <si>
    <t>Chery (como marca separada de CAOA Chery)</t>
  </si>
  <si>
    <t>Não existe entrada separada em nenhuma fonte; a Fenabrave usa CAOA CHERY. Não aplicável ao corte.</t>
  </si>
  <si>
    <t>Lifan / Hafei / Troller</t>
  </si>
  <si>
    <t>Não aparecem em nenhuma lista de 2025 consultada; sem emplacamentos relevantes.</t>
  </si>
  <si>
    <t>MARCAS ACIMA DO CORTE DE 5.000 EM 2025 QUE FICARAM FORA DA ABA BASE POR FALTA DE DADO POR MODELO</t>
  </si>
  <si>
    <t>motivo_da_exclusao</t>
  </si>
  <si>
    <t>Citroën</t>
  </si>
  <si>
    <t>Cobertura insuficiente. Os modelos publicados em jan-jul/2026 (Basalt 8.427, C3 7.948, Jumpy 1.066, Jumper 250) somam 17.691 das 20.068 un. da marca, ou 88,2%. O C3 Aircross não tem acumulado total publicado em 2026: está fora do top 50 de automóveis (corte em 7.009) e fora do top 40 de Suv's (corte em 3.209). Com algo entre 1.317 e 2.377 un. ele ficaria à frente do 3º e do 4º colocados, então o ranking interno da marca sairia falso. A Ed. 283 só o publica na tabela de venda direta, como CITROEN/AIRCROSS 1.317 un. (50º, p. 32) — número parcial, incompatível com o critério de emplacamentos totais usado na base. Marca excluída em vez de publicada errada.</t>
  </si>
  <si>
    <t>BMW</t>
  </si>
  <si>
    <t>Cobertura insuficiente. Os modelos publicados somam 2.729 das 8.418 un. da marca em jan-jul/2026, ou 32,4%. O modelo mais vendido da marca no país (X1, 2.954 un. em jan-jul/2025) não aparece em 2026 porque a tabela de Suv's encerra na 40ª posição. Um top 5 montado com o que existe listaria o 320i e o M2 como principais da BMW, o que é falso.</t>
  </si>
  <si>
    <t>Mercedes-Benz</t>
  </si>
  <si>
    <t>A Fenabrave não publica o total da marca em jan-jul/2026: ela fica fora das 21 posições do ranking combinado e só aparece com 1.007 un. em comerciais leves. Sem o total não há como testar a cobertura. Os modelos publicados são Sprinter, Classe C e variantes AMG/CLA, enquanto os SUVs GLC, GLA e GLB, que concentram o volume, não são publicados.</t>
  </si>
  <si>
    <t>Volvo</t>
  </si>
  <si>
    <t>Nenhum modelo Volvo tem número publicado em jan-jul/2026. O XC60 e o EX30 apareciam na tabela de Suv's da Ed. 271, mas em 2026 essa tabela encerra em 3.209 un. e nenhum Volvo alcança esse corte. Sem modelo não há linha.</t>
  </si>
  <si>
    <t>Porsche</t>
  </si>
  <si>
    <t>A Fenabrave não publica o total da marca em jan-jul/2026 (fora das 21 posições), o que impede o teste de cobertura. Os modelos publicados (911, Panamera, Boxster, Cayman) somam 1.035 un., enquanto Macan e Cayenne, que concentram o volume da marca no Brasil, não são publicados.</t>
  </si>
  <si>
    <t>MODELOS EM QUE NÃO FOI ENCONTRADO NÚMERO (célula deixada vazia na aba base, sem estimativa)</t>
  </si>
  <si>
    <t>coluna_sem_numero</t>
  </si>
  <si>
    <t>motivo</t>
  </si>
  <si>
    <t>emplacamentos_2025_ytd e emplacamentos_2025</t>
  </si>
  <si>
    <t>Não consta nas tabelas de segmento nem no ranking de modelos da Ed. 271 nem da Ed. 276.</t>
  </si>
  <si>
    <t>Nenhuma ocorrência do nome em nenhuma tabela da Ed. 271 nem da Ed. 276 (verificado por varredura das duas edições).</t>
  </si>
  <si>
    <t>Modelo lançado em 2026; não existe nas edições de 2025.</t>
  </si>
  <si>
    <t>A tabela de Suv's da Ed. 271 encerra na 40ª posição e a Ed. 276 não lista o modelo.</t>
  </si>
  <si>
    <t>Lançado no 2º semestre de 2025; não consta no acumulado jan-jul/2025.</t>
  </si>
  <si>
    <t>A tabela de Pick-up's Grandes da Ed. 271 encerra na 11ª posição e não lista o modelo.</t>
  </si>
  <si>
    <t>NOTAS DE MÉTODO</t>
  </si>
  <si>
    <t>Corte de cobertura: marca com 5.000 emplacamentos ou mais no ANO FECHADO DE 2025 (jan-dez/2025), automóveis mais comerciais leves, conforme o ranking de marcas da Ed. 276.</t>
  </si>
  <si>
    <t>Ranking dos modelos dentro de cada marca (coluna posicao_na_marca): acumulado jan-jul/2026, conforme a Ed. 283.</t>
  </si>
  <si>
    <t>variacao_pct compara jan-jul/2026 com jan-jul/2025, mesma janela de 7 meses nos dois anos. A coluna emplacamentos_2025 é o ano civil fechado e NÃO deve ser usada como base de variação: comparar 7 meses com 12 meses produziria queda artificial em todo modelo.</t>
  </si>
  <si>
    <t>Critério de contagem uniforme em todas as marcas: emplacamentos totais, incluindo venda direta e frota. Nenhuma linha da aba base usa número de venda a varejo.</t>
  </si>
  <si>
    <t>Limite estrutural da fonte: a Fenabrave publica o ranking de marcas apenas até a 21ª posição e trunca as tabelas de modelos por segmento (Suv's na 40ª posição, Pick-up's Grandes na 11ª, Furgões na 7ª). Por isso não existe número Fenabrave por modelo para as marcas premium e para várias chinesas.</t>
  </si>
  <si>
    <t>Regra de inclusão de marca aplicada: a marca entra na base se os modelos com número Fenabrave publicado cobrirem 94% ou mais do total da marca no acumulado jan-jul/2026. Abaixo disso o ranking interno da marca seria falso e a marca foi excluída, com o motivo registrado no bloco de exclusões acima.</t>
  </si>
  <si>
    <t>Quando o resíduo não aberto por modelo é maior que o número de um modelo listado, a coluna observacao daquela linha traz um aviso de que a posição pode estar incompleta.</t>
  </si>
  <si>
    <t>Marcas com menos de 5 linhas na base (Jeep 3, CAOA Chery 4, Mitsubishi 3, Iveco 3, Omoda Jaecoo 2) são marcas de cobertura alta que simplesmente não têm 5 modelos com número na fonte. Nenhum número foi estimado para completar cinco linhas.</t>
  </si>
  <si>
    <t>PONTO CEGO DO CORTE: o ranking de marcas da Ed. 276 encerra na 21ª posição, em 7.219 un. (Omoda Jaecoo). Logo o corte de 5.000 só é verificável com dado Fenabrave até 7.219 un.: uma marca com total entre 5.000 e 7.219 pode existir sem aparecer em lista nenhuma. Nessa faixa cega estão pelo menos Kia e Audi. Porsche (5.522) e Iveco (5.146) só foram recuperados porque aparecem nos rankings separados de automóveis e de comerciais leves.</t>
  </si>
  <si>
    <t>Normalização de nomes na coluna marca: a Fenabrave imprime GM (aqui Chevrolet), VW (aqui Volkswagen) e M.BENZ (Mercedes-Benz). Os nomes de modelo foram mantidos como a fonte escreve, ajustada apenas a capitalização.</t>
  </si>
  <si>
    <t>Nenhum valor foi estimado, interpolado ou completado. Célula vazia significa número não encontrado na fonte, com o motivo registrado na coluna observacao e no bloco de modelos sem número acima.</t>
  </si>
  <si>
    <t>Divergências internas do próprio informativo Fenabrave, entre o ranking geral de modelos e a tabela por segmento, foram resolvidas adotando o ranking geral, com os dois números registrados na coluna observacao.</t>
  </si>
  <si>
    <t>Verificação: os 66 valores de 22 modelos e os 40 totais de marca usados como âncora foram reconferidos contra os PDFs originais por extração independente, sem divergência.</t>
  </si>
  <si>
    <t>geracao_referencia</t>
  </si>
  <si>
    <t>diant_part_number</t>
  </si>
  <si>
    <t>diant_unidade_venda</t>
  </si>
  <si>
    <t>diant_medida_motorista_pol</t>
  </si>
  <si>
    <t>diant_medida_motorista_mm</t>
  </si>
  <si>
    <t>diant_medida_passageiro_pol</t>
  </si>
  <si>
    <t>diant_medida_passageiro_mm</t>
  </si>
  <si>
    <t>diant_encaixe</t>
  </si>
  <si>
    <t>diant_preco_par_brl</t>
  </si>
  <si>
    <t>diant_preco_fonte</t>
  </si>
  <si>
    <t>diant_preco_url</t>
  </si>
  <si>
    <t>tras_aplicavel</t>
  </si>
  <si>
    <t>tras_part_number</t>
  </si>
  <si>
    <t>tras_medida_pol</t>
  </si>
  <si>
    <t>tras_medida_mm</t>
  </si>
  <si>
    <t>tras_encaixe</t>
  </si>
  <si>
    <t>tras_preco_unid_brl</t>
  </si>
  <si>
    <t>tras_preco_fonte</t>
  </si>
  <si>
    <t>tras_preco_url</t>
  </si>
  <si>
    <t>aplicacao_url</t>
  </si>
  <si>
    <t>medida_fonte_url</t>
  </si>
  <si>
    <t>status_dado</t>
  </si>
  <si>
    <t>3a geracao (projeto 281), 2020-2026</t>
  </si>
  <si>
    <t>7092277</t>
  </si>
  <si>
    <t>jogo (2 unidades por pacote)</t>
  </si>
  <si>
    <t>Loja oficial Fiat no Mercado Livre (canal da montadora, linha Mopar)</t>
  </si>
  <si>
    <t>https://www.mercadolivre.com.br/jogo-palheta-limpador-original-fiat-argo-mobi-pulse-fastback/up/MLBU3678496504</t>
  </si>
  <si>
    <t>nao</t>
  </si>
  <si>
    <t>preco + part number</t>
  </si>
  <si>
    <t>COLETA 2026-08-26 na loja oficial Fiat. Codigo 7092277 CONFIRMADO em pagina de produto, com aplicacao declarada Argo, Cronos, Fastback, Fiorino, Mobi, Strada e Pulse, marca Mopar, 60 cm condutor e 40 cm acompanhante, 2 unidades por pacote. Isso substitui a versao anterior deste campo, que vinha de titulo indexado e estava marcada como nao confirmada. DISPERSAO DE PRECO no mesmo canal: R$ 178,27 (MLBU3678496504) e R$ 399,00 (MLBU3275415485), duas ofertas do mesmo codigo na mesma loja oficial. Adotado o menor. Em canal independente (So Genuinas Fiat, revendedor de Mopar, nao concessionaria) o mesmo codigo sai por R$ 228,00.</t>
  </si>
  <si>
    <t>2017-2026 (facelift 2025)</t>
  </si>
  <si>
    <t>7092277 ou 7090652 (dois codigos vigentes na mesma aplicacao)</t>
  </si>
  <si>
    <t>sim</t>
  </si>
  <si>
    <t>52083318</t>
  </si>
  <si>
    <t>https://www.mercadolivre.com.br/palheta-limpador-vidro-traseiro-argo-fiat-52083318/up/MLBU3832770283</t>
  </si>
  <si>
    <t>https://www.geniopecas.com.br/jogo-palhetas-original-genuino-fiat-argo-cronos-fiatmopar-7090652</t>
  </si>
  <si>
    <t>https://www.elecar.com.br/palheta-24-16-pol-argo-2017-em-diante-cronos-2018-em-diante-pulse-2021-em-diante-uno-novo-2015-em-diante-strada-nova-2015-ate-2018-7089145-7090652</t>
  </si>
  <si>
    <t>COLETA 2026-08-26. AMBIGUIDADE NAO RESOLVIDA, E AGORA CONFIRMADA: os dois codigos seguem vivos na loja oficial Fiat para a mesma aplicacao. 7092277 a R$ 178,27 e R$ 399,00; 7090652 a R$ 188,66 e R$ 280,33. A hipotese de que o 7092277 tinha substituido o 7090652 esta DESCARTADA. Adotado o menor preco entre os quatro. PALHETA TRASEIRA: codigo 52083318 descoberto nesta coleta e confirmado em rede de concessionarias (FIPAL) e em loja de pecas Fiat como palheta avulsa, 1 unidade, Argo 2017 em diante - nao e o braco 52023770. ATENCAO COMERCIAL: a traseira sozinha (R$ 166,31) custa quase o mesmo que o par dianteiro inteiro (R$ 178,27).</t>
  </si>
  <si>
    <t>2016-2026 (facelift 2021/2022)</t>
  </si>
  <si>
    <t>7087586</t>
  </si>
  <si>
    <t>https://www.mercadolivre.com.br/palheta-limpador-vidro-traseiro-fiat-mobi-novo-uno-original/up/MLBU3379935025</t>
  </si>
  <si>
    <t>COLETA 2026-08-26. Linha que estava com o dianteiro inteiramente vazio - agora preenchida: o 7092277 declara Mobi na aplicacao. TRASEIRA: codigo 7087586 CONFIRMADO nesta coleta, aplicacao declarada Mobi e Novo Uno em multiplas fontes, 1 unidade. Duas ofertas no canal da montadora: R$ 36,89 e R$ 58,31; adotado o menor. A diferenca de titulo entre as duas (uma cita Novo Uno 2011-2019, outra cita Mobi e Novo Uno) foi checada e NAO e divergencia de aplicacao: o mesmo codigo atende os dois carros.</t>
  </si>
  <si>
    <t>2016-2026 (facelift 2022)</t>
  </si>
  <si>
    <t>7089943</t>
  </si>
  <si>
    <t>https://www.mercadolivre.com.br/jogo-palhetas-limpador-fiat-toro-compass-commander-original/up/MLBU3739584783</t>
  </si>
  <si>
    <t>https://www.geniopecas.com.br/jogo-palhetas-limpador-original-fiat-toro-todas-mopar</t>
  </si>
  <si>
    <t>COLETA 2026-08-26. Duas ofertas do mesmo codigo na loja oficial Fiat: R$ 289,00 e R$ 383,57; adotado o menor. Este codigo tambem atende Jeep Compass e Commander, entao esses precos sao candidatos para as linhas da Jeep - mas so depois de confirmar na loja oficial Jeep, porque a mesma peca pode ter preco diferente entre as duas lojas do grupo. CONFLITO AINDA ABERTO: uma concessionaria lista o codigo 7093262 para Compass e Commander 2024, possivelmente substituindo o 7089943.</t>
  </si>
  <si>
    <t>2021-2026</t>
  </si>
  <si>
    <t>https://www.altese.com.br/7090652-altese-palhetas-argo-cronos/p</t>
  </si>
  <si>
    <t>COLETA 2026-08-26. Mesma ambiguidade do Argo: 7092277 e 7090652 convivem na loja oficial para a mesma aplicacao. Adotado o menor preco. TRASEIRA NAO ENCONTRADA: a busca na loja oficial nao retornou palheta traseira para o Pulse, apesar de o modelo ter limpador traseiro. Celula deixada vazia, sem estimativa. Como o Argo custa R$ 166,31 na traseira, esta lacuna nao e pequena e vale nova tentativa pelo codigo, nao pelo nome do modelo.</t>
  </si>
  <si>
    <t>Polo e Polo Track 2018-2026; aplicacao declarada do PN: Polo Track 2023-2024</t>
  </si>
  <si>
    <t>6EA998002</t>
  </si>
  <si>
    <t>par</t>
  </si>
  <si>
    <t>6EA955427</t>
  </si>
  <si>
    <t>https://pecas.vw.com.br/produto/palheta-de-limpador-de-para-brisa-6ea998002/4307</t>
  </si>
  <si>
    <t>part number sem preco</t>
  </si>
  <si>
    <t>PRECO DELIBERADAMENTE VAZIO. Existe um preco de concessionaria (R$ 466,33, jogo JZZ998002E, Chamorro Veiculos, https://www.pecaschamorro.com.br/pecas-de-exterior/limpador-de-para-brisa/jogo-palheta-dianteira-vw-golf-tsi-jzz998002e), mas ele e de um part number DIFERENTE do que a montadora lista para o Polo, e o proprio catalogo VW indica faixa de mercado de R$ 164,54 a R$ 176,79 para o 6EA998002 - cerca de 2,7x menos. Lancar 466,33 aqui seria atribuir ao modelo um preco que nao e da peca dele. Para Polo 2018-2022 o catalogo VW traz o par 2G1998002. O catalogo oficial nao declara aplicacao alem de 2024. Traseiro 6EA955427 vendido como unidade, aplicacao Polo e Virtus 2018-2022.</t>
  </si>
  <si>
    <t>2019-2026 (facelift 2023); aplicacao declarada do PN: 2020-2022</t>
  </si>
  <si>
    <t>2GP998002A</t>
  </si>
  <si>
    <t>2GP95542703C</t>
  </si>
  <si>
    <t>https://pecas.vw.com.br/produto/palheta-de-limpador-de-parabrisa-dianteiro-vw-2gp998002a/1870</t>
  </si>
  <si>
    <t>PRECO DELIBERADAMENTE VAZIO pelo mesmo motivo do Polo: o unico preco de concessionaria disponivel (R$ 466,33) e do jogo JZZ998002E, part number diferente do 2GP998002A que a VW lista para o T-Cross. PNs confirmados no catalogo oficial VW: dianteiro par 2GP998002A e traseiro unidade 2GP95542703C, ambos com aplicacao T-Cross 2020-2022. O catalogo nao declara aplicacao para o T-Cross 2023+ pos-facelift.</t>
  </si>
  <si>
    <t>1a geracao, lancado em 2025</t>
  </si>
  <si>
    <t>https://pecas.vw.com.br/pecas-vw/tera</t>
  </si>
  <si>
    <t>sem dado</t>
  </si>
  <si>
    <t>BLOCO VAZIO E ISSO E UM RESULTADO, NAO UMA FALHA. O modelo existe no seletor do catalogo oficial pecas.vw.com.br, mas a categoria Palhetas retorna zero produtos para ele; a listagem completa de palhetas do catalogo VW (54 itens) nao tem nenhuma aplicacao Tera, e as aplicacoes mais recentes do catalogo vao ate 2024. Nem tras_aplicavel foi preenchido: o Tera e SUV compacto e provavelmente tem limpador traseiro, mas isso nao foi verificado em fonte nenhuma.</t>
  </si>
  <si>
    <t>2020-2026; aplicacao declarada do PN: 2021-2022</t>
  </si>
  <si>
    <t>2G59554279B9</t>
  </si>
  <si>
    <t>PRECO DELIBERADAMENTE VAZIO pelo mesmo motivo do Polo e do T-Cross. O Nivus aparece em DOIS pares dianteiros do catalogo VW com a mesma aplicacao 2021-2022: 6EA998002 (registrado, por tambem cobrir Polo Track 2023-2024) e 2G1998002 - vale confirmar por chassi qual e o vigente. Traseiro 2G59554279B9 e de aplicacao exclusiva do Nivus, vendido como unidade.</t>
  </si>
  <si>
    <t>G7/G8, 2013-2026; aplicacao declarada do PN: 2017-2022</t>
  </si>
  <si>
    <t>5U0955426A (lado passageiro/direito); lado motorista nao localizado</t>
  </si>
  <si>
    <t>unidade</t>
  </si>
  <si>
    <t>https://pecas.vw.com.br/produto/palheta/30478</t>
  </si>
  <si>
    <t>Unico VW do lote que a montadora NAO vende em par: cada lado tem codigo proprio, entao o preco do par sera soma de dois codigos e hoje falta um deles. O codigo do lado MOTORISTA para Saveiro 2017+ nao existe no catalogo VW - os unicos de motorista da familia sao 5U0955425F (2012-2013) e 5U0955425G (2014-2016). Traseiro verificado e nao presumido: a lista completa de palhetas traseiras do catalogo VW nao inclui Saveiro, apesar de incluir Gol e Voyage, que dividem plataforma.</t>
  </si>
  <si>
    <t>2a geracao, 2020-2026</t>
  </si>
  <si>
    <t>26249760 (motorista) e 26249758 (passageiro)</t>
  </si>
  <si>
    <t>jogo (a GM tambem vende avulso por lado)</t>
  </si>
  <si>
    <t>Metropecas PR, e-commerce de concessionaria GM - jogo declarado Produto Original GM com garantia de fabrica</t>
  </si>
  <si>
    <t>https://www.metropecaspr.com.br/jogo-de-palhetas-do-limpador-do-parabarisa-onix-plus-novo-onix-novo-tracker-p2016974</t>
  </si>
  <si>
    <t>42709518</t>
  </si>
  <si>
    <t>Metropecas SC, e-commerce de concessionaria GM - declarado Original GM</t>
  </si>
  <si>
    <t>https://www.metropecassc.com.br/palheta-do-limpador-do-vidro-traseiro-novo-onix-hatch-1-p1919517</t>
  </si>
  <si>
    <t>https://www.acciolygm.com.br/palheta-limpador-parabrisa-lado-motorista-onix-2020-a-2020</t>
  </si>
  <si>
    <t>https://www.autonext.com.br/palheta-limpador-dianteira-onix-2020-ate-2023/p</t>
  </si>
  <si>
    <t xml:space="preserve"> CONFERENCIA (2026-08-25, pagina reaberta e valor reconferido): R$ 343,93 confirmado, part numbers 26249758 e 26249760 confirmados, unidade de venda 'jogo' com duas palhetas confirmada, produto declarado original GM com garantia nacional. A pagina declara aplicacao Onix Plus Sedan 2020-2024, Novo Onix Hatch 2020-2024 e Novo Tracker 2021-2024 - ou seja, a aplicacao do part number termina em 2024, embora a geracao do veiculo siga em linha. Geracao conferida: o Onix 2020-2026 usa 26249760/26249758, diferente do Onix 2013-2019 (52151338). Comprando avulso na Accioly o par sai por 194,83 + 168,32 = 363,15, contra 343,93 do jogo - registrado o jogo por ser a unidade de venda declarada como par. Traseira tambem na Accioly por 84,08 e na Nova Chevrolet por 97,19. Encaixe vazio: o catalogo Bosch diz apenas 'especifico do veiculo' e a traseira aparece como 'conexao 12 exclusiva'.</t>
  </si>
  <si>
    <t>2a geracao; fontes divergem na faixa: Accioly 2019-2026, Metropecas 2021-2025</t>
  </si>
  <si>
    <t>Metropecas PR, e-commerce de concessionaria GM - jogo declarado para Onix Plus / Novo Onix / Novo Tracker, Produto Original GM</t>
  </si>
  <si>
    <t>26274514</t>
  </si>
  <si>
    <t>Metropecas PR, e-commerce de concessionaria GM - Peca 100% Genuina com garantia de fabrica</t>
  </si>
  <si>
    <t>https://www.metropecaspr.com.br/palheta-do-limpador-traseiro-nova-tracker-equinox-p1977912</t>
  </si>
  <si>
    <t>https://www.acciolygm.com.br/palheta-limpador-parabrisa-lado-motorista-tracker-nova-2019-a-2021</t>
  </si>
  <si>
    <t xml:space="preserve"> CONFERENCIA (2026-08-25, pagina reaberta e valor reconferido): R$ 343,93 confirmado; a pagina declara aplicacao Novo Tracker 1.0/1.2 Turbo 2021-2024. As medidas dianteiras vem do catalogo de aplicacao do Novo Onix, nao de pagina que cite o Tracker - sao os mesmos dois part numbers vendidos no mesmo jogo. ATENCAO na medida traseira: os 250 mm vem do campo de dimensoes da ficha da Metropecas, que em outros produtos do mesmo site corresponde a embalagem e nao a lamina - tratar como nao confirmado. Traseira tambem na Accioly por 115,19.</t>
  </si>
  <si>
    <t>2a geracao (sedan), 2020-2026</t>
  </si>
  <si>
    <t>Metropecas PR, e-commerce de concessionaria GM - o jogo cita o Onix Plus nominalmente, Produto Original GM</t>
  </si>
  <si>
    <t xml:space="preserve"> CONFERENCIA (2026-08-25, pagina reaberta e valor reconferido): R$ 343,93 confirmado; a pagina cita Onix Plus Sedan 1.0 2020-2024 nominalmente. Compartilha exatamente os part numbers dianteiros do Onix hatch e do Tracker. Traseiro marcado nao: a palheta traseira 42709518 e catalogada como Novo Onix HATCH e o Onix Plus e sedan de tres volumes. Ressalva: a ficha da Accioly da mesma peca menciona Onix Plus na compatibilidade, provavelmente erro de cadastro.</t>
  </si>
  <si>
    <t>Nova S10, 2017-2026</t>
  </si>
  <si>
    <t>84437183 (codigo unico, o par vem nele)</t>
  </si>
  <si>
    <t>par / jogo</t>
  </si>
  <si>
    <t>Metropecas PR, e-commerce de concessionaria GM - Produto Original Chevrolet com garantia nacional GM</t>
  </si>
  <si>
    <t>https://www.metropecaspr.com.br/jogo-de-palhetas-do-limpador-do-parabrisa-dianteiro-nova-s10-trailblazer-spin-p1865154</t>
  </si>
  <si>
    <t>https://www.acciolygm.com.br/84437183</t>
  </si>
  <si>
    <t>https://www.jocar.com.br/amp/produto/chevrolet/s10/2020/709684-palheta-do-limpador-do-para-brisa-bosch-s10-trailblazer-2012-ate-2020-22-18-550mm-450mm-aerofit-sd-dianteira-par-sd5-3397014476/</t>
  </si>
  <si>
    <t xml:space="preserve"> CONFERENCIA (2026-08-25, pagina reaberta e valor reconferido): R$ 243,33 confirmado, part number 84437183 confirmado, unidade 'jogo' confirmada, produto declarado Original Chevrolet com garantia nacional GM. ATENCAO: a pagina reaberta declara aplicacao Nova S10 2018-2024, Trailblazer 2018-2024 e Spin 2021-2024, faixa diferente da registrada na Accioly (2017-2026) - as duas lojas de concessionaria GM divergem na faixa de anos do mesmo codigo. Mesmo codigo tambem na Accioly por 308,58 rotulado par - registrado o menor, ambos sao loja de concessionaria GM. ATENCAO: a Metropecas lista o mesmo jogo 84437183 tambem para o Spin 2021-2024, o que conflita com o PN registrado no Spin. Traseiro nao: conclusao por ausencia do item nos catalogos das lojas GM consultadas, nao por pagina que afirme a ausencia. Encaixe vazio: o catalogo Bosch identifica o braco como Tipo 5 / adaptador SD5, que nao mapeia com seguranca para a nomenclatura pedida.</t>
  </si>
  <si>
    <t>geracao unica desde 2013, em linha em 2026; fonte de preco registra 2013-2025</t>
  </si>
  <si>
    <t>94737724 (codigo unico de par)</t>
  </si>
  <si>
    <t>Accioly GM, e-commerce de grupo autorizado GM - declarado Original GM</t>
  </si>
  <si>
    <t>https://www.acciolygm.com.br/par-palheta-limpador-parabrisa-dianteiro-spin-2012-a-2017</t>
  </si>
  <si>
    <t>52158862</t>
  </si>
  <si>
    <t>Metropecas SC, e-commerce de concessionaria GM - Peca 100% Genuina com garantia de fabrica</t>
  </si>
  <si>
    <t>https://www.metropecassc.com.br/palheta-do-limpador-do-para-brisa-traseiro-spin-2013-a-2022-1-p1919699</t>
  </si>
  <si>
    <t>https://www.metropecaspr.com.br/jogo-de-palhetas-do-limpador-de-para-brisa-acdelco-spin-2013-a-2021-550mm-400mm-22-16-p1864695</t>
  </si>
  <si>
    <t xml:space="preserve"> CONFERENCIA (2026-08-25, pagina reaberta e valor reconferido): R$ 190,89 confirmado, part number 94737724 confirmado, unidade 'par' confirmada, declarado ORIGINAL GM; aplicacao declarada Spin 2013-2021, com a pagina afirmando compatibilidade ate 2025. Traseira: R$ 51,24 confirmado, mas e PRECO PROMOCIONAL - o valor cheio na mesma pagina e R$ 60,28. CONFLITO DE PN NAO RESOLVIDO na dianteira: tres codigos aparecem em lojas de concessionaria GM - 94737724 (par, Accioly, aplicacao 2013-2025, R$ 190,89), 19350099 (jogo ACDelco, Metropecas, 2013-2021, R$ 43,88) e 84437183 (jogo da S10, que a Metropecas tambem lista para Spin 2021-2024). Registrado o primeiro por ser o unico cuja aplicacao alcanca 2025. As medidas 22/16 vem do titulo do jogo ACDelco, que nao atribui qual lado e qual - assumido motorista = maior. Medida traseira vazia: a ficha traz dimensao de embalagem, nao comprimento de lamina. Traseira tambem na Accioly por 59,32.</t>
  </si>
  <si>
    <t>99H09AKA24C (motorista) e 99H09AKA16C (passageiro)</t>
  </si>
  <si>
    <t>unidade avulsa por lado</t>
  </si>
  <si>
    <t>Hyundai Mobis Brasil, braco de pecas genuinas da montadora - preco de venda sugerido; valor e SOMA dos dois codigos (69,05 + 53,08)</t>
  </si>
  <si>
    <t>https://hyundaimobis.com.br/catalogo-produtos/palheta-do-limpador-do-para-brisa/</t>
  </si>
  <si>
    <t>https://www.allpartsnet.com.br/palheta-bosch-hyundai-hb20-2020-2022-tipo-2b-24--ld-lpgm3057/p</t>
  </si>
  <si>
    <t xml:space="preserve"> CONFERENCIA (2026-08-25, pagina reaberta e valor reconferido): os dois codigos foram reconferidos e somam R$ 122,13 (69,05 do motorista + 53,08 do passageiro), ambos rotulados 'Preco de venda sugerido', com a propria pagina avisando que o preco varia entre concessionarias por causa de impostos regionais. A pagina NAO declara ano-modelo de aplicacao. RESSALVA FORTE SOBRE O PN: a mesma dupla 99H09AKA24C/99H09AKA16C aparece identica na pagina de acessorios do Creta, com os mesmos precos - dois para-brisas bem diferentes com a mesma palheta indica linha de acessorio genuino de aplicacao ampla, e nao o part number de fabrica do modelo. O preco e declarado sugerido pela propria pagina, que avisa variar por concessionaria. Nao foi localizada nenhuma loja de concessionaria Hyundai no Brasil com preco publico de palheta genuina. Medida do passageiro vazia por conflito entre fontes (13 pol em uma ficha, sufixo 16C do codigo sugerindo 16 pol).</t>
  </si>
  <si>
    <t>2a geracao brasileira, 2022-2026</t>
  </si>
  <si>
    <t>https://hyundaimobis.com.br/catalogo-produtos/palheta-do-limpador-do-para-brisa-2/</t>
  </si>
  <si>
    <t xml:space="preserve"> CONFERENCIA (2026-08-25, pagina reaberta e valor reconferido): os dois codigos foram reconferidos e somam R$ 122,13, rotulados como preco sugerido e sem ano-modelo de aplicacao declarado. MESMA RESSALVA DO HB20, AQUI MAIS GRAVE: a pagina de acessorios do Creta traz exatamente os mesmos dois codigos e os mesmos precos da pagina do HB20. Trate como pendente de confirmacao em catalogo eletronico de concessionaria. Medidas vazias de proposito: nao foi localizado catalogo de aplicacao que declare as polegadas do Creta 2022+.</t>
  </si>
  <si>
    <t>2a geracao (sedan do HB20), 2020-2026</t>
  </si>
  <si>
    <t>Tudo vazio na dianteira porque o catalogo da Hyundai Mobis tem pagina de palheta so para HB20 e Creta, e o PN do HB20 nao foi transportado para ca sem fonte que nomeie o HB20S. Catalogos de reposicao tratam HB20 e HB20S como mesma aplicacao dianteira, o que sugere palheta compartilhada, mas isso e indicio de reposicao e nao fonte genuina.</t>
  </si>
  <si>
    <t>lancado no Brasil em 25/06/2026, produzido em Piracicaba</t>
  </si>
  <si>
    <t>https://www.blogauto.com.br/hyundai-i20-2026-chega-ao-brasil-entre-hb20-e-creta-por-r-99-990/</t>
  </si>
  <si>
    <t>CORRECAO DE PREMISSA: o i20 PASSOU a ser vendido no Brasil - lancamento nacional em 25/06/2026, de R$ 99.990 a R$ 139.990, terceiro modelo da marca produzido no pais. Por ser lancamento de dois meses na data da consulta, nao ha nenhum dado de peca publicado: o catalogo Mobis ainda nao tem pagina do i20 e nenhum catalogo de aplicacao lista o modelo. Ate tras_aplicavel ficou vazio.</t>
  </si>
  <si>
    <t>fora de linha: ultima unidade produzida em 31/10/2025</t>
  </si>
  <si>
    <t>https://www.autodata.com.br/noticias/2025/11/24/caoa-produz-o-ultimo-hr-e-encerra-etapa-hyundai-em-anapolis/97309/</t>
  </si>
  <si>
    <t>Modelo fora de linha - a Caoa encerrou a producao em 31/10/2025, entao nao existe geracao em linha em 2026. Segue relevante para reposicao. Nenhum dado de palheta: o catalogo Mobis nao tem pagina para HR. Traseiro nao por ser furgao/chassi-cabine de cabine avancada.</t>
  </si>
  <si>
    <t>8a geracao AN120/AN130, 2016-2026; catalogos usam 2017 em diante</t>
  </si>
  <si>
    <t>85212-42130 (direito/passageiro) e 85222-71010-2V (esquerdo/motorista, linha Toyota Value)</t>
  </si>
  <si>
    <t>gancho J</t>
  </si>
  <si>
    <t>https://palhetaparabrisa.com.br/produtos/par-de-palhetas-do-limpador-de-parabrisa-toyota-hilux-2017-em-diante/</t>
  </si>
  <si>
    <t>https://www.allpartsnet.com.br/palheta-bosch-toyota-hilux-2015-2020-tipo-g-22--le-lpau6896/p</t>
  </si>
  <si>
    <t>PRECO DELIBERADAMENTE NAO SOMADO. Existem dois precos na Toyoparts (e-commerce da Toyopar, autorizada Toyota do PR): 85212-42130 a R$ 196,00 e 85222-71010-2V a R$ 69,90 - mas o segundo e da linha Toyota Value (sufixo 2V), nao a genuina padrao, e esta sem estoque. Somar as duas seria misturar linhas de produto diferentes. O codigo genuino padrao 85222-71010 (R$ 325,00) tem aplicacao declarada Hilux/SW4 2004-2015, ou seja geracao anterior. Falta o codigo esquerdo genuino padrao da geracao 2016+. Traseiro nao: nenhum catalogo consultado lista palheta traseira para Hilux picape; toyota.com.br devolveu 403 e nao permitiu confirmacao oficial.</t>
  </si>
  <si>
    <t>XG10, 2021-2026</t>
  </si>
  <si>
    <t>https://palhetaparabrisa.com.br/produtos/par-de-palhetas-do-limpador-de-parabrisa-toyota-corolla-cross-2021-em-diante1/</t>
  </si>
  <si>
    <t>so medida tecnica</t>
  </si>
  <si>
    <t>Part number genuino e preco vazios: a Toyoparts, unica loja de concessionaria Toyota acessivel, tem categoria de palhetas apenas para Corolla, Prius e Etios, e as paginas de listagem sao renderizadas em JavaScript. As paginas de produto individuais funcionam por codigo, mas o part number do Corolla Cross nao foi obtido e nao foi adivinhado. Traseiro confirmado pela oferta de palheta traseira especifica de 12 pol para Corolla Cross 2021+.</t>
  </si>
  <si>
    <t>lancamento recente, ano-modelo 2026 em venda</t>
  </si>
  <si>
    <t>https://www.toyota.com.br/modelos/yaris-cross</t>
  </si>
  <si>
    <t>Nenhum dado de peca obtido. toyota.com.br devolveu 403 na leitura automatizada, a Toyoparts nao tem Yaris Cross no sitemap de categorias e nenhum catalogo de aplicacao de palheta cobre o modelo ainda. Nem tras_aplicavel foi marcado: presumir que SUV tem traseiro seria exatamente a deducao proibida.</t>
  </si>
  <si>
    <t>12a geracao E210, 2020-2026</t>
  </si>
  <si>
    <t>https://palhetaparabrisa.com.br/produtos/par-de-palhetas-do-limpador-de-parabrisa-toyota-corolla-2020-em-diante/</t>
  </si>
  <si>
    <t>Medida 28/14 e incomum mas bate em duas fontes independentes (palhetaparabrisa e catalogo Vetor PVT2814 via autonext), por isso foi mantida. Part number e preco vazios: na Toyoparts foram encontrados apenas REFIS de borracha do Corolla (85214-28080 e 85214-68020), e refil nao serve para a coluna de palheta. Traseiro nao por carroceria sedan e ausencia em todos os catalogos; nao confirmado em ficha tecnica oficial (403).</t>
  </si>
  <si>
    <t>AN120/AN130; Toyoparts declara aplicacao Hilux/SW4 2015-2024</t>
  </si>
  <si>
    <t>85222-71010-2V (esquerdo/motorista, linha Toyota Value); codigo do lado direito especifico para SW4 nao localizado</t>
  </si>
  <si>
    <t>https://palhetaparabrisa.com.br/produtos/par-de-palhetas-do-limpador-de-parabrisa-toyota-hilux-sw4-2017-em-diante2/</t>
  </si>
  <si>
    <t>https://guerradistribuidora.com.br/catalogo/palhetas/palheta-especifica-hybrid-22-16-toyota-hilux-sw4/</t>
  </si>
  <si>
    <t>Palheta dianteira igual a da Hilux segundo dois catalogos. Preco do par vazio pelo mesmo motivo da Hilux: so ha preco do lado esquerdo na linha Toyota Value, e o preco do lado direito encontrado tem aplicacao declarada apenas para Hilux, sem mencao a SW4 - a aplicacao nao foi estendida por conta propria. tras_aplicavel vazio de proposito: o SW4 e SUV e quase certamente tem limpador traseiro, mas nenhuma fonte confirmou.</t>
  </si>
  <si>
    <t>2018-2026 (reestilizacao 2022)</t>
  </si>
  <si>
    <t>288909935R</t>
  </si>
  <si>
    <t>https://palhetaparabrisa.com.br/produtos/par-de-palhetas-do-limpador-de-parabrisa-renault-kwid-2018-em-diante1/</t>
  </si>
  <si>
    <t>EXISTE PRECO REAL DE CONCESSIONARIA MAS NAO FOI LANCADO: codigo 288909935R, R$ 90,00, na Automega Renault (Repecon Veiculos, concessionaria Renault autorizada em Tijucas/SC), https://www.automegarenault.com.br/pecas-e-acessorios/palheta-kwid-carro-renault. A pagina NAO declara se o codigo e par, jogo ou unidade, e nao foi achado um segundo codigo para o lado passageiro - sem saber a unidade de venda, o valor nao pode ir para uma coluna que pede preco do PAR. Se a unidade de venda for confirmada, o preco entra direto. tras_aplicavel vazio: nenhuma fonte confirmou se o Kwid brasileiro tem limpador traseiro em alguma versao.</t>
  </si>
  <si>
    <t>nao confirmada</t>
  </si>
  <si>
    <t>Nada apurado. renault.com.br devolveu erro do proprio site, nenhum catalogo de aplicacao acessivel tem Kardian, e todas as lojas de concessionaria Renault com preco publico localizadas estao bloqueadas por robots.txt ou com certificado invalido (peca.renault.com.br, loja.rpoint.com.br, loja.navesa.com.br, loja.grupoamazonas.com.br, pecas.valecrenault.com.br, loja.brasilrenault.com).</t>
  </si>
  <si>
    <t>geracao brasileira desde 2021; catalogo trata a aplicacao como 2020-2022</t>
  </si>
  <si>
    <t>https://www.autonext.com.br/api/catalog_system/pub/products/search/palheta%20duster</t>
  </si>
  <si>
    <t>CONFLITO REAL entre dois itens do mesmo fabricante no mesmo catalogo: DY-S403 declara Duster 2020-2022 com 21 e 16 pol, enquanto DY-S503 declara Duster 2011-2022 com 20 e 20 pol. Foi usado o mais especifico e recente, mas isso PRECISA ser confirmado antes de virar dado de producao. tras_aplicavel sim apoiado em oferta de palhetas traseiras de 12 pol associadas ao modelo; e evidencia indireta, por isso a medida traseira ficou vazia.</t>
  </si>
  <si>
    <t>Lancamento recente, peca genuina ainda sem preco publicado em nenhuma fonte acessivel. Ha confirmacao de que o modelo esta em comercializacao (concessionaria Automega mantem paginas de venda do Boreal), mas nenhuma loja de pecas lista palheta, nenhum catalogo de aplicacao cobre o modelo e renault.com.br/carros/boreal.html devolveu 404.</t>
  </si>
  <si>
    <t>Master III reestilizado, em linha no Brasil em 2026; catalogo de palheta usa 2019 em diante</t>
  </si>
  <si>
    <t>https://www.renault.com.br/veiculos-utilitarios/master-furgao/versoes-e-precos.html</t>
  </si>
  <si>
    <t>https://palhetaparabrisa.com.br/produtos/par-de-palhetas-do-limpador-de-parabrisa-renault-master-2019-em-diante1/</t>
  </si>
  <si>
    <t>Geracao fixada por leitura da pagina oficial Renault de versoes e precos (2.3 dCi biturbo, AdBlue, controle adaptativo de carga), que corresponde ao Master III reestilizado e nao a 4a geracao europeia - ATENCAO: e leitura de conteudo, nao declaracao explicita de geracao pela Renault. Medida 26/26 (as duas palhetas iguais) vem de catalogo cobrindo Furgao, Chassi, Minibus e Vitre. tras_aplicavel vazio: o furgao tem versoes com e sem vidro nas portas traseiras, entao marcar nao seria presuncao.</t>
  </si>
  <si>
    <t>2a geracao (M6/552), 2017-2026, facelift 2022; aplicacao usada 2018-2024</t>
  </si>
  <si>
    <t>nao declarada pela fonte de preco</t>
  </si>
  <si>
    <t>T-Line Jeep/RAM, concessionaria autorizada Jeep em Sao Jose dos Campos-SP - pagina declara peca Mopar, tabela de preco vigente ate 31/08/2026</t>
  </si>
  <si>
    <t>https://tlinejeep.com.br/pecas/palheta-dianteira</t>
  </si>
  <si>
    <t>K68358390AA (tambem grafado 68358390AA)</t>
  </si>
  <si>
    <t>https://magazineriopreto.com.br/produtos/kpa52-palhetas-bosch-diant-jeep-compass-2017/</t>
  </si>
  <si>
    <t xml:space="preserve"> CONFERENCIA (2026-08-25, pagina reaberta e valor reconferido): PRECO REMOVIDO DA COLUNA. A pagina da T-Line foi reaberta e NAO declara se o valor e de uma palheta ou do par, e NAO exibe o part number Mopar - a vinculacao do codigo ao preco foi inferencia, nao leitura. Valor encontrado, guardado aqui e nao lancado: R$ 310,44. Mesmo criterio aplicado ao Renault Kwid, que tem preco de concessionaria mas sem unidade de venda declarada. Para lancar, basta confirmar no balcao se o valor e unitario ou do par. CONFLITO DE CODIGO ABERTO: outra concessionaria Jeep (Valence) lista para palheta dianteira de Compass e Commander o codigo 7093262, aplicacao 2024, sugerindo codigo mais recente; essa pagina nao publica preco. Validar 7089943 x 7093262 por chassi antes de fechar. Preco traseiro vazio: a unica pagina de concessionaria com o K68358390AA (romapecasjeep.com.br, R$ 426,25) nao resolve DNS; a Genio Pecas tem a peca genuina mas indisponivel. Precos de Bosch/silicone (R$ 78 a R$ 92) foram descartados por serem reposicao.</t>
  </si>
  <si>
    <t>geracao BU/520, 2015-2026, facelift 2022; aplicacao usada 2018-2024</t>
  </si>
  <si>
    <t>7089674</t>
  </si>
  <si>
    <t>T-Line Jeep/RAM, concessionaria autorizada Jeep - tabela vigente ate 31/08/2026, aplicacao declarada Renegade 2018-2024</t>
  </si>
  <si>
    <t>https://tlinejeep.com.br/pecas/palheta-dianteira-1583</t>
  </si>
  <si>
    <t>7090512</t>
  </si>
  <si>
    <t>https://www.geniopecas.com.br/palheta-limpador-parabrisa-renegade-original-mopar-7089674</t>
  </si>
  <si>
    <t xml:space="preserve"> CONFERENCIA (2026-08-25, pagina reaberta e valor reconferido): PRECO REMOVIDO DA COLUNA. A pagina da T-Line foi reaberta e NAO declara se o valor e de uma palheta ou do par, e NAO exibe o part number Mopar - a vinculacao do codigo ao preco foi inferencia, nao leitura. Valor encontrado, guardado aqui e nao lancado: R$ 321,28. Mesmo criterio aplicado ao Renault Kwid, que tem preco de concessionaria mas sem unidade de venda declarada. Para lancar, basta confirmar no balcao se o valor e unitario ou do par. MEDIDAS VAZIAS DE PROPOSITO: a Genio Pecas declara o par 7089674 como 20 e 22 pol mas NAO identifica qual lado e qual, e nao foi achada fonte acessivel que separe motorista de passageiro. PN confirmado por duas concessionarias Jeep independentes (T-Line e Valence). PN traseiro 7090512 confirmado com aplicacao explicita nas duas fases da geracao. Preco de R$ 120,00 encontrado na renotech.com.br foi descartado: e loja especializada em Renault, nao concessionaria Jeep, e nao declara a peca como genuina.</t>
  </si>
  <si>
    <t>geracao unica brasileira (553), 2022-2026; aplicacao usada 2022-2024</t>
  </si>
  <si>
    <t>T-Line Jeep/RAM, concessionaria autorizada Jeep - a mesma pagina do codigo 7089943 declara aplicacao Commander 2022-2024</t>
  </si>
  <si>
    <t>https://www.mozbr.com.br/palheta-limpador-parabrisa-jeep-commander-2021-ate-em-diante-original-bosch</t>
  </si>
  <si>
    <t xml:space="preserve"> CONFERENCIA (2026-08-25, pagina reaberta e valor reconferido): PRECO REMOVIDO DA COLUNA. A pagina da T-Line foi reaberta e NAO declara se o valor e de uma palheta ou do par, e NAO exibe o part number Mopar - a vinculacao do codigo ao preco foi inferencia, nao leitura. Valor encontrado, guardado aqui e nao lancado: R$ 310,44. Mesmo criterio aplicado ao Renault Kwid, que tem preco de concessionaria mas sem unidade de venda declarada. Para lancar, basta confirmar no balcao se o valor e unitario ou do par. O Commander divide o codigo dianteiro 7089943 com o Compass na tabela da concessionaria, mas as fontes tecnicas Bosch dao medidas diferentes de passageiro para os dois carros - Commander 18 pol e Compass 17 pol. E plausivel (o Commander e um Compass alongado com para-brisa proprio), mas um mesmo PN nao deveria atender duas medidas: confirmar. Vale o mesmo alerta do Compass sobre o codigo alternativo 7093262. Encaixe: uma loja declara gancho e outra declara especifico do veiculo para o mesmo kit Bosch. Traseiro sim pela existencia de palheta traseira catalogada para o modelo, mas sem PN genuino, medida nem preco.</t>
  </si>
  <si>
    <t>importado, no Brasil desde 2023, em linha em 2026</t>
  </si>
  <si>
    <t>https://www.byd.com/br</t>
  </si>
  <si>
    <t>https://magazineriopreto.com.br/produtos/palheta-dianteira-original-bosch-byd-dolphin-mini-2023/</t>
  </si>
  <si>
    <t>NAO EXISTE e-commerce de pecas genuinas BYD no Brasil com preco publico: o site oficial tem area de pos-venda e agendamento de servico, mas nenhum catalogo de pecas nem carrinho; a rede roda por orcamento em concessionaria. Por isso PN, unidade de venda e preco ficaram vazios, sem substituicao por reposicao. Existe reposicao (kit Bosch a R$ 44,81 a palheta avulsa), fora da regra. A medida de 26 pol vem de ficha Bosch que vende a peca avulsa e avisa haver pequenas variacoes em relacao a original - e uma medida grande para um hatch subcompacto, confirmar. tras_aplicavel sim por ser hatch com limpador traseiro de serie, mas NAO confirmado em catalogo.</t>
  </si>
  <si>
    <t>Song Pro e Song Plus convivem em linha em 2026; dados abaixo sao do SONG PLUS 2022+</t>
  </si>
  <si>
    <t>https://palhetaparabrisa.com.br/produtos/par-de-palhetas-do-limpador-de-parabrisa-byd-song-plus-2022-em-diante/</t>
  </si>
  <si>
    <t>NAO HA UMA UNICA VERSAO EM LINHA: Song Pro e Song Plus convivem no site oficial da BYD Brasil em 2026 e a medida da palheta muda entre elas - a base precisa de DOIS registros. Os numeros aqui sao do Song Plus; para o Song Pro nao foi achada medida em catalogo acessivel. Preco e PN vazios pelo mesmo motivo do Dolphin Mini. Reposicao existente, so para referencia: par PTFE R$ 159,90 e traseira R$ 70,00. Fonte traseira: https://palhetaparabrisa.com.br/produtos/palheta-do-limpador-traseiro-byd-song-plus-dm-2022-em-diante/</t>
  </si>
  <si>
    <t>importado, no Brasil desde 2023; versoes Dolphin, Dolphin Plus e Dolphin SE em linha em 2026</t>
  </si>
  <si>
    <t>https://palhetaparabrisa.com.br/produtos/par-de-palhetas-do-limpador-de-parabrisa-byd-dolphin-2023-em-diante/</t>
  </si>
  <si>
    <t>A fonte tecnica declara 26 pol no motorista e 14 pol no passageiro para Dolphin Active, Boost, Comfort, Design e Luxury 2023+, cobrindo Dolphin e Dolphin Plus mas NAO citando Dolphin Mini nem Dolphin SE. A assimetria 26/14 e grande; confirmar em segunda fonte. PN e preco vazios: a BYD Brasil nao opera loja online de pecas genuinas com preco publico. tras_aplicavel sim por ser hatch com limpador traseiro de serie, mas nao confirmado: a lista de palhetas traseiras BYD do catalogo consultado tem apenas Yuan Plus, Tan EV e Song Plus.</t>
  </si>
  <si>
    <t>BYD King DM-i (derivado do Qin Plus DM-i), importado, em linha em 2026</t>
  </si>
  <si>
    <t>MODELO SEM NENHUM DADO TECNICO APURADO - o mais incompleto do lote. O King nao aparece em nenhum catalogo de palheta acessivel. Ha para-brisa do King em catalogo de reposicao, o que confirma que a marca ja e atendida, mas a secao de palhetas nao abriu. Medidas nao foram estimadas a partir do Qin Plus. tras_aplicavel nao por ser sedan de tres volumes - conclusao por tipo de carroceria, NAO confirmada em catalogo.</t>
  </si>
  <si>
    <t>Yuan Plus e Yuan Pro convivem em linha em 2026; dados abaixo sao do YUAN PLUS 2022+</t>
  </si>
  <si>
    <t>https://palhetaparabrisa.com.br/produtos/par-de-palhetas-do-limpador-de-parabrisa-byd-yuan-plus-2022-em-diante/</t>
  </si>
  <si>
    <t>Assim como no Song, nao ha versao unica: Yuan Plus e Yuan Pro estao ambos em linha em 2026 e a base precisa de DOIS registros. Os numeros aqui sao do Yuan Plus; para o Yuan Pro nao foi achada medida. DIVERGENCIA NA MEDIDA DO PASSAGEIRO: uma fonte declara 17 pol e o catalogo Bosch declara 18 pol para o mesmo Yuan Plus - registrado 17 por vir de listagem especifica do modelo. PN e preco vazios: BYD sem loja de pecas genuinas com preco publico.</t>
  </si>
  <si>
    <t>2a geracao brasileira, 2023-2027 (familia de pecas 3M6)</t>
  </si>
  <si>
    <t>https://loja.estilohonda.com.br/sistema-eletrico-escapamento-aquecedor-combustivel/lamina-palheta-dianteira-550-mm-hr-v-2023-2027-76632tk8a04</t>
  </si>
  <si>
    <t>O part number da PALHETA COMPLETA dianteira desta geracao nao foi localizado em nenhuma loja de concessionaria acessivel. O que existe publicado com preco sao as LAMINAS/REFIS genuinos na Estilo Honda (concessionaria autorizada, declara Genuino Honda): 76632TK8A04, lamina dianteira 550 mm, R$ 132,85, e 76632TRNH03, lamina dianteira 475 mm, R$ 132,85, ambas com aplicacao HR-V 2023-2027. A loja nao declara qual e motorista e qual e passageiro. Refil nao e palheta, por isso nao entrou na coluna de preco. Limpador traseiro confirmado pela existencia da haste genuina 767203M6M01.</t>
  </si>
  <si>
    <t>2a geracao (base Honda Elevate), a partir de 2023, produzida em Itirapina</t>
  </si>
  <si>
    <t>https://www.autodata.com.br/noticias/2025/10/16/itirapina-chega-a-dois-turnos-completos-com-o-wr-v/95373/</t>
  </si>
  <si>
    <t>Nenhuma peca de limpador do WR-V 2023+ aparece nas duas unicas lojas de concessionaria Honda com preco publico acessiveis - foram enumerados os catalogos inteiros das duas (API da Shori e sitemap completo da Estilo Honda, 898 urls) e nao ha nenhum item da familia 76xxx com prefixo do WR-V novo. Nem o prefixo de peca desta geracao foi determinado, por isso tras_aplicavel tambem ficou vazio. Os dados que existem sao da geracao ANTERIOR (WR-V 2018-2021, base Fit, prefixo T5N) e nao servem.</t>
  </si>
  <si>
    <t>5a geracao sedan, 2022-2026 (familia de pecas T14)</t>
  </si>
  <si>
    <t>https://loja.shori.com.br/</t>
  </si>
  <si>
    <t>Tratado como modelo separado do City Hatch: o sedan usa prefixo de peca T14 e o hatch usa 3R4, ou seja sao familias distintas. Part number e preco da palheta completa nao localizados. O unico item de limpador desta geracao com preco publico e o REFIL 76632T5AJ04 (dianteira esquerda, R$ 111,06, Honda Shori) - refil nao e palheta. tras_aplicavel nao apoiado em carroceria sedan mais a ausencia de qualquer peca de limpador traseiro com prefixo T14 nos catalogos completos das duas lojas Honda, enquanto para City Hatch (3R4) e HR-V (3M6) as pecas traseiras existem.</t>
  </si>
  <si>
    <t>City Hatchback 2022-2026 (familia de pecas 3R4)</t>
  </si>
  <si>
    <t>NADA foi copiado do City sedan - sao familias de peca diferentes (sedan T14, hatch 3R4), o que reforca que as palhetas podem divergir. O unico item com prefixo 3R4 e preco publico e 767313R4M01, R$ 67,80, Honda Shori, mas ha contradicao: na numeracao Honda a faixa 7673x costuma ser do limpador TRASEIRO enquanto o titulo da loja diz DIANT, e a pagina nao traz aplicacao nem medida. Por isso tras_aplicavel ficou vazio em vez de sim.</t>
  </si>
  <si>
    <t>Geracao deixada vazia de proposito: nenhuma fonte oficial acessivel confirmou qual Civic esta em linha no Brasil em 2026 (honda.com.br recusou por robots/timeout). A hipotese de trabalho e a 11a geracao (e:HEV importado, a partir de 2022), mas nao esta verificada e por isso nao foi registrada como dado. tras_aplicavel nao por carroceria sedan mais ausencia de peca traseira de Civic nos catalogos completos das duas lojas Honda.</t>
  </si>
  <si>
    <t>nova geracao P16, produzida em Resende desde 15/04/2025 - e a que esta em linha em 2026</t>
  </si>
  <si>
    <t>https://autoranking.com.br/novo-kicks-2026-estreia-no-brasil-com-producao-resende/</t>
  </si>
  <si>
    <t>Registro da troca de geracao: em 2026 quem esta em linha e o Kicks NOVO (P16); o Kicks Play (P15) saiu de linha e foi substituido pelo Kait. NENHUMA peca genuina Nissan com preco publico foi encontrada - nao existe e-commerce de concessionaria Nissan acessivel (loja.nissan.com.br exige login, pecas.itavema.com.br e SPA sem renderizacao, nissanparts.grupoleauto.com.br nao resolve DNS e o espelho em marketplace e bloqueado por robots). Os codigos que existem publicados sao da geracao anterior (dianteira 288905RB0B, traseira 287905RA0A) e NAO foram aplicados ao P16.</t>
  </si>
  <si>
    <t>lancamento 2026, apresentado em dezembro de 2025, produzido em Resende; baseado no Kicks P15</t>
  </si>
  <si>
    <t>https://en.wikipedia.org/wiki/Nissan_Kait</t>
  </si>
  <si>
    <t>Por ser lancamento de 2026, nao existe peca genuina Nissan de limpador do Kait com preco publicado em nenhuma fonte que se qualifique. TENTACAO EXPLICITAMENTE EVITADA: como o Kait e o P15 reestilizado, e plausivel que compartilhe as palhetas do Kicks Play (dianteira 288905RB0B, traseira 287905RA0A), mas isso nao foi confirmado em nenhum catalogo e portanto nao foi preenchido.</t>
  </si>
  <si>
    <t>geracao atual N18, a partir de 2020; linhas MY26 e MY27 ativas</t>
  </si>
  <si>
    <t>https://www.nissan.com.br/proprietarios/pecas-produtos.html</t>
  </si>
  <si>
    <t>Mesma barreira do Kicks: nenhum e-commerce de concessionaria Nissan acessivel. Existe um anuncio de palhetas originais Nissan Versa por R$ 165,61 na loja oficial do grupo Le Auto, mas a pagina nao abriu (DNS nao resolve pelo proxy, espelho em marketplace bloqueado por robots) e nem part number nem unidade de venda nem geracao foram confirmados - por isso o preco NAO foi lancado. Medidas: o unico dado Bosch e do Versa 2011-2016, geracao anterior, e nao foi extrapolado.</t>
  </si>
  <si>
    <t>D23, a partir de 2017; linha 2026 ativa</t>
  </si>
  <si>
    <t>https://www.allpartsnet.com.br/palheta-bosch-nissan-frontier-2017-2021-tipo-g-18--ld-lpci6892/p</t>
  </si>
  <si>
    <t>Medidas e encaixe vem do catalogo de aplicacao Bosch (dado tecnico, nao preco), em duas entradas: 18 pol lado direito para Frontier 2017-2021 e 24 pol lado esquerdo para 2007-2019. Part number genuino e preco vazios pelo mesmo motivo dos demais Nissan. Existe um anuncio de palhetas originais Nissan Frontier por R$ 246,68 na loja do grupo Le Auto que nao pode ser aberto para confirmar PN, ano de aplicacao e se o valor e do par - nao foi lancado.</t>
  </si>
  <si>
    <t>B18, a partir de 2020, importado do Mexico; linha MY26 ativa</t>
  </si>
  <si>
    <t>Nada preenchido alem da geracao. Nenhuma loja de concessionaria Nissan acessivel; existe um anuncio de palheta original Nissan Sentra na loja do grupo Le Auto que nao abriu, sem preco nem PN confirmados. Medida: o catalogo Bosch so tem Sentra 2006-2013, geracao antiga, e nao foi extrapolado.</t>
  </si>
  <si>
    <t>Tiggo 5X Pro; aplicacao usada 2019-2024; versao em linha em 2026 NAO confirmada em fonte oficial</t>
  </si>
  <si>
    <t>T15-5205153 (lado esquerdo/motorista)</t>
  </si>
  <si>
    <t>https://pinkpecas.com.br/produtos/palheta-do-limpador-de-parabrisa-traseira-pvf8-tiggo-5x/</t>
  </si>
  <si>
    <t>O PN veio do TITULO INDEXADO de um anuncio de concessionaria Prime Chery (Vitoria-ES); a pagina em si NAO pode ser aberta (soencalho.com recusado por robots.txt) e nao foi contornada - o codigo precisa de confirmacao no balcao. PN do lado passageiro nao localizado. Preco genuino indisponivel: a rede CAOA Chery opera peca por formulario de cotacao, sem preco publico, e a loja oficial caoapecasonline.com.br e SPA em JavaScript que nao renderiza. Preco de reposicao (Vetor R$ 32,00 na traseira) nao entra na coluna genuina.</t>
  </si>
  <si>
    <t>Tiggo 7 Pro; aplicacao usada 2020-2024; versao em linha em 2026 NAO confirmada</t>
  </si>
  <si>
    <t>https://pinkpecas.com.br/produtos/palheta-do-limpador-de-parabrisa-traseira-pvt9-tiggo-7-tiggo-8-pro-hibrido/</t>
  </si>
  <si>
    <t>Mesmo PN dianteiro esquerdo do Tiggo 5X Pro e do Tiggo 8: o anuncio de concessionaria declara a peca como comum aos tres. Fonte so acessivel pelo titulo indexado (soencalho.com recusado por robots); confirmar no balcao. PN do passageiro nao localizado. Preco genuino indisponivel pelos mesmos motivos do Tiggo 5X.</t>
  </si>
  <si>
    <t>Tiggo 8 Pro / Tiggo 8 Pro Hibrido; aplicacao usada 2022-2024; versao em linha em 2026 NAO confirmada</t>
  </si>
  <si>
    <t>PN dianteiro esquerdo compartilhado com Tiggo 5X Pro e Tiggo 7 segundo o anuncio de concessionaria; pagina nao aberta (robots), so titulo indexado. A medida traseira de 9 pol esta confirmada explicitamente para o Tiggo 8 Pro Hibrido; para o Tiggo 8 Pro a combustao a fonte nao e explicita - tratar como pendente.</t>
  </si>
  <si>
    <t>Nenhum dado apurado. Nao foi possivel confirmar sequer se o Arrizo 6 segue em linha no Brasil em 2026: caoachery.com.br devolveu 403 na raiz e em /pecas-e-acessorios. Nenhum catalogo de palhetas acessivel lista aplicacao para Arrizo - a lista Chery de um dos catalogos cobre Icar, Tiggo 7 Pro, Tiggo 8 Pro Hibrido, Tiggo 8, Tiggo 7X, Tiggo 3X Pro, Tiggo, S18 e QQ, sem nenhum Arrizo. tras_aplicavel nao foi marcado como nao apesar de ser sedan, porque nenhuma fonte verificou.</t>
  </si>
  <si>
    <t>Nova Geracao Ranger (P703), a partir de 2023 - e a que esta em linha em 2026</t>
  </si>
  <si>
    <t>https://www.ford.com.br/todos-os-veiculos/picapes.html</t>
  </si>
  <si>
    <t>ATENCAO A GERACAO: os unicos dados tecnicos encontrados sao da geracao ANTERIOR (T6) e NAO devem ser usados - Bosch cataloga Ranger 2017-2021 com 24 pol no esquerdo e 15 pol/380 mm no direito, com referencias OE 8X1955426A e 8X1998002A. Nenhum catalogo acessivel cobre a P703 2023+. Part number genuino e preco nao obtidos: a loja oficial de pecas da Ford no Brasil e a loja no Mercado Livre, dominio recusado por robots.txt, e os e-commerces de concessionaria Ford localizados (pecas.sonnervig.com.br, loja.superauto.com.br, pecadireta.com.br, ford.brasal.com.br) foram recusados por robots ou devolveram 403. Traseiro nao por picape de cabine dupla com vidro fixo e ausencia nos catalogos - nao e confirmacao em ficha tecnica oficial.</t>
  </si>
  <si>
    <t>convencional</t>
  </si>
  <si>
    <t>https://www.autoglassonline.com.br/palheta%20territory?_q=palheta%20territory&amp;map=ft</t>
  </si>
  <si>
    <t>Limpador traseiro CONFIRMADO pela existencia do produto Palheta Traseira Vigia Convencional Ford Territory 2021 a 2026, com encaixe declarado convencional - mas o preco de R$ 46,39 e de REPOSICAO e nao entra na coluna genuina. A medida da traseira nao constava na listagem e a pagina do produto nao pode ser aberta: o site respondeu nas primeiras consultas e passou a ser recusado por robots.txt em seguida. Dianteira sem nenhum dado. Part number e preco genuinos bloqueados pelo mesmo motivo da Ranger.</t>
  </si>
  <si>
    <t>P758, geracao 2022+, em linha em 2026</t>
  </si>
  <si>
    <t>https://www.ford.com.br/picapes/maverick/versoes.html</t>
  </si>
  <si>
    <t>Traseiro marcado nao com base em duas evidencias: a pagina oficial da Maverick no site da Ford Brasil nao traz nenhuma mencao a limpador de vidro traseiro na lista de equipamentos, e e picape de cabine dupla com vidro fixo. Nao e confirmacao por ficha tecnica em PDF. Nenhum dado dianteiro apurado. Observacao para reapuracao: a Maverick vendida no Brasil e importada do Mexico, entao o PN Ford global provavelmente coincide com o dos EUA - isso NAO foi confirmado e por isso nenhum numero foi registrado.</t>
  </si>
  <si>
    <t>Transit Furgao V363, ano-modelo 2026</t>
  </si>
  <si>
    <t>https://www.ford.com.br/veiculos-comerciais/transit-furgao.html</t>
  </si>
  <si>
    <t>tras_aplicavel deixado vazio de proposito: no furgao a existencia de limpador traseiro depende de as portas traseiras terem vidro, o que varia por versao, e a pagina oficial nao traz a lista de equipamentos de serie. ATENCAO A GERACAO: os unicos dados de palheta encontrados sao da Transit ANTERIOR (2008-2011, 26 pol esquerdo e 22 pol direito, Bosch Tipo G) e nao se aplicam a V363. Part number e preco bloqueados pelo mesmo motivo da Ranger.</t>
  </si>
  <si>
    <t>14a geracao P702, ano-modelo 2025, em linha em 2026</t>
  </si>
  <si>
    <t>Traseiro nao por picape de cabine dupla com vidro fixo e ausencia em todos os catalogos consultados - nao e confirmacao em ficha tecnica oficial. Nenhum dado dianteiro: allpartsnet e autonext nao catalogam F-150 e autoglassonline passou a recusar por robots. Part number e preco bloqueados pelo mesmo motivo da Ranger. Observacao para reapuracao: a F-150 vendida no Brasil e importada dos EUA, entao o PN Ford deve coincidir com o norte-americano - nao confirmado, por isso nenhum numero registrado.</t>
  </si>
  <si>
    <t>3a geracao (HEV/PHEV), 2023-2026; aplicacao usada 2021-2026</t>
  </si>
  <si>
    <t>5205102AKN01A (lado esquerdo) e 5205104AKN01A (lado direito)</t>
  </si>
  <si>
    <t>unidade (codigo separado por lado)</t>
  </si>
  <si>
    <t>push button</t>
  </si>
  <si>
    <t>6310100XKN01A</t>
  </si>
  <si>
    <t>https://www.wipertech.com.au/wiper-blades/haval/h6/2021-2024</t>
  </si>
  <si>
    <t>A GWM NAO tem e-commerce de peca genuina com preco publico no Brasil: originalgwm.com.br e gwmamericas.com.br so oferecem telefone e WhatsApp para orcamento, sem catalogo, carrinho ou preco; foram varridos tambem os sitemaps completos de geniopecas, altese, pecaschamorro e loja.grupojorlan, e nenhuma tem peca GWM. Nao foi substituido por reposicao. RESSALVA DE RISCO NOS PART NUMBERS: vem da Elite Parts, exportador internacional que declara peca genuina GWM, mas NAO foram batidos contra catalogo GWM Brasil, e a mesma pagina agrupa H6 e Jolion no mesmo kit. CONFLITO DE MEDIDA: os catalogos australianos dao 24+19 pol e a reposicao brasileira especifica (Vetor PVF2320) da 23+20. O encaixe push button e descricao funcional do catalogo, nao nomenclatura oficial GWM.</t>
  </si>
  <si>
    <t>2a geracao, lancada no Brasil em 2025; manual GWM Brasil MY27 e o vigente</t>
  </si>
  <si>
    <t>https://www.gwmmotors.com.br/content/dam/gwm/pages/br/pt/service/manuais/haval-h9/Manual-do-proprietario-Haval-H9-My27.pdf</t>
  </si>
  <si>
    <t>Limpador traseiro CONFIRMADO EM FONTE PRIMARIA: o manual oficial GWM Brasil MY27 traz a secao Substituicao da palheta do limpador traseiro na pagina 282. Medidas vazias: o manual nao declara comprimento de palheta e nenhum catalogo de aplicacao cobre o H9 de nova geracao - os PNs que a Elite Parts oferece sao do H9 antigo (2014-2024), geracao diferente da vendida hoje, e por isso NAO foram usados. Preco vazio pelo mesmo motivo do H6.</t>
  </si>
  <si>
    <t>Poer P30 2.4 turbodiesel, lancado no Brasil em 2025, linha 2026</t>
  </si>
  <si>
    <t>https://www.gwmmotors.com.br/content/dam/gwm/pages/br/pt/service/manuais/poer-p30/manual-do-proprietario-poer-p30.pdf</t>
  </si>
  <si>
    <t>Ausencia de limpador traseiro VERIFICADA EM FONTE PRIMARIA: no manual oficial GWM Brasil do P30 a unica secao de substituicao e a do para-brisa dianteiro (pagina 299), e as ocorrencias de vidro traseiro no manual sao so de desembacador e vidros eletricos. Medidas vazias: o manual nao declara comprimento e nao ha catalogo de aplicacao para o P30. A medida do GWM Cannon (geracao anterior da picape, 23+16) NAO foi copiada, porque o P30 e carroceria diferente.</t>
  </si>
  <si>
    <t>Tank 300 Hi4-T, no Brasil desde 2024; aplicacao usada 2022-2026</t>
  </si>
  <si>
    <t>https://www.wipertech.com.au/wiper-blades/gwm/tank-300/2022-2025</t>
  </si>
  <si>
    <t>Raro caso de medidas iguais nos dois lados - dois catalogos independentes confirmam 18 pol de cada lado, entao nao e erro de copia. Limpador traseiro confirmado pelos dois catalogos (kit dianteiro e traseiro). MEDIDA TRASEIRA DEIXADA VAZIA POR CONFLITO: um catalogo declara 10 pol/250 mm e o outro 9 pol/225 mm para o mesmo veiculo, e nao foi arbitrado. Part numbers nao localizados. Preco vazio: GWM sem e-commerce de peca genuina com preco publico.</t>
  </si>
  <si>
    <t>Ora 03 BEV, no Brasil desde 2023; aplicacao usada 2022-2026</t>
  </si>
  <si>
    <t>https://www.wipertech.com.au/wiper-blades/gwm/ora/es-2022-2026</t>
  </si>
  <si>
    <t>tras_aplicavel vazio de proposito: o Ora 03 e hatch, o que sugere limpador traseiro, mas NAO foi verificado - a pagina do catalogo nao declara traseira e o manual do proprietario do Ora 03 nao foi localizado no site da GWM Brasil (a pagina de manuais retorna 404). Este campo precisa de nova checagem. Encaixe dianteiro vazio: o catalogo cita um conector especifico do Ora mas nao nomeia o tipo. Preco e PN vazios: GWM sem loja de peca genuina com preco publico.</t>
  </si>
  <si>
    <t>1a geracao, produzida em Goiana/PE, no Brasil desde 2023, linha 2026</t>
  </si>
  <si>
    <t>https://palhetaparabrisa.com.br/produtos/par-de-palhetas-do-limpador-de-parabrisa-ram-rampage-2023-em-diante/</t>
  </si>
  <si>
    <t>PART NUMBER MOPAR NAO ENCONTRADO: a Rampage e modelo exclusivo do Brasil e por isso nao aparece nos catalogos Mopar americanos. PRECO VAZIO apos varredura dos sitemaps completos de geniopecas (4.059 produtos, 18 palhetas), altese (11.085 produtos, 112 palhetas), pecaschamorro e loja.grupojorlan (6.410 produtos, 89 palhetas): NENHUMA delas tem uma unica palheta de RAM. A hipotese de que a RAM seria coberta pelas lojas Mopar nao se confirmou - o catalogo Mopar dessas lojas e quase todo Fiat e Jeep. CONFLITO DE MEDIDA no lado passageiro: uma fonte da 18 pol e outra da 17 pol; o lado motorista bate em 24 nas duas.</t>
  </si>
  <si>
    <t>1a geracao da nova Dakota, lancamento 2026 no Brasil</t>
  </si>
  <si>
    <t>https://www.webmotors.com.br/ram/dakota/2026</t>
  </si>
  <si>
    <t>MODELO NOVO, SEM NENHUM DADO DE PALHETA DISPONIVEL. Foi confirmado que a Dakota 2026 esta no mercado brasileiro (picape media, 5.360 x 1.890 x 1.820 mm, R$ 249.990 a R$ 329.990), mas por ser lancamento nao ha catalogo de aplicacao de palheta em lugar nenhum: nem no Mopar americano (nao existe Dakota atual la), nem nos catalogos brasileiros de reposicao, nem nas lojas de peca genuina varridas. tras_aplicavel tambem ficou vazio: embora picape normalmente nao tenha limpador traseiro, este modelo especifico nao foi verificado.</t>
  </si>
  <si>
    <t>5a geracao Heavy Duty (2019+), no Brasil desde 2021, linha 2026; aplicacao usada 2022 em diante</t>
  </si>
  <si>
    <t>55277446AC</t>
  </si>
  <si>
    <t>unidade (o catalogo Mopar exige 2 por veiculo; mesmo codigo serve os dois lados)</t>
  </si>
  <si>
    <t>https://www.moparpartsgiant.com/parts/mopar-blade-front-wiper~55277446ac.html</t>
  </si>
  <si>
    <t>https://palhetaparabrisa.com.br/produtos/par-de-palhetas-do-limpador-de-parabrisa-ram-3500-2022-em-diante/</t>
  </si>
  <si>
    <t>O part number e o mesmo dos dois lados - o catalogo Mopar nao lista codigo separado para motorista e passageiro, o que confirma medidas iguais. Aplicacao declarada: RAM 2500 2016-2025, 3500 2017-2025, 4500/5500 2017-2020, 1500 2016-2020 e 1500 Classic 2021-2024. PRECO EM REAIS VAZIO: nenhuma loja de peca genuina brasileira varrida vende palheta de RAM; o preco que existe e em dolar no catalogo americano (US$ 21,55) e por isso nao entrou. CONFLITO DESCARTADO: um catalogo australiano dava 24 pol para o 3500 e 26 para o 2500, o que e impossivel ja que os dois usam o mesmo codigo Mopar.</t>
  </si>
  <si>
    <t>5a geracao Heavy Duty (2019+), linha 2026; aplicacao usada 2019 em diante</t>
  </si>
  <si>
    <t>https://palhetaparabrisa.com.br/produtos/par-de-palhetas-do-limpador-de-parabrisa-ram-2500-2019-em-diante/</t>
  </si>
  <si>
    <t>Levantado separadamente do 3500, com pagina de aplicacao propria. O resultado bate porque o catalogo Mopar da literalmente o mesmo codigo para 2500 e 3500 - a cabine e a mesma nas duas, entao a igualdade e do fabricante e nao copia. Preco em reais vazio pelo mesmo motivo do 3500. Encaixe vazio: nenhuma fonte nomeia o tipo.</t>
  </si>
  <si>
    <t>5a geracao DT (2019+), importada, linha 2026; aplicacao Mopar 2019-2025</t>
  </si>
  <si>
    <t>68339036AC</t>
  </si>
  <si>
    <t>https://www.moparpartsgiant.com/parts/mopar-blade-front-wiper~68339036ac.html</t>
  </si>
  <si>
    <t>https://palhetaparabrisa.com.br/produtos/par-de-palhetas-do-limpador-de-parabrisa-ram-1500-2021-em-diante/</t>
  </si>
  <si>
    <t>PART NUMBER DIFERENTE DO 2500/3500: o 1500 DT usa 68339036AC (substitui AB e AA), aplicacao declarada 2019-2025 nas versoes Tradesman, Laramie, Longhorn, Rebel, Limited e TRX, e o catalogo afirma explicitamente que o codigo e o mesmo para esquerda e direita. O codigo 55277446AC do 2500/3500 cobre o RAM 1500 ANTIGO (2016-2020, geracao DS) e o 1500 Classic - nao e o desta linha. CONFLITO DE MEDIDA: a fonte usada da 23+23, a Magneti Marelli PMMS362 aparece como par de 22 pol de cada lado, e um catalogo australiano da 28+26, incompativel com codigo unico. As duas fontes brasileiras concordam que os lados sao iguais e divergem so entre 22 e 23 pol.</t>
  </si>
  <si>
    <t>nao pesquisado</t>
  </si>
  <si>
    <t>NAO PESQUISADO. O lote destas marcas foi interrompido pelo limite mensal de cota da organizacao antes de qualquer busca. Nenhum dado foi coletado e nada foi presumido. Linha mantida na aba para que os 80 modelos da aba base continuem alinhados um a um.</t>
  </si>
  <si>
    <t>id</t>
  </si>
  <si>
    <t>prioridade</t>
  </si>
  <si>
    <t>loja_oficial</t>
  </si>
  <si>
    <t>o_que_buscar</t>
  </si>
  <si>
    <t>posicao</t>
  </si>
  <si>
    <t>modelos_que_isso_resolve</t>
  </si>
  <si>
    <t>o_que_ja_sabemos</t>
  </si>
  <si>
    <t>atencao</t>
  </si>
  <si>
    <t>preco_brl</t>
  </si>
  <si>
    <t>unidades_por_pacote</t>
  </si>
  <si>
    <t>url_do_anuncio</t>
  </si>
  <si>
    <t>vendedor_exato</t>
  </si>
  <si>
    <t>sua_observacao</t>
  </si>
  <si>
    <t>EXEMPLO</t>
  </si>
  <si>
    <t>dianteiro</t>
  </si>
  <si>
    <t>Strada, Argo, Mobi, Pulse</t>
  </si>
  <si>
    <t>Jogo Mopar, 60 cm condutor / 40 cm acompanhante, 2 unidades por pacote</t>
  </si>
  <si>
    <t>LINHA DE EXEMPLO - APAGUE ANTES DE DEVOLVER. Mostra o formato esperado em cada coluna amarela.</t>
  </si>
  <si>
    <t>178,27</t>
  </si>
  <si>
    <t>2</t>
  </si>
  <si>
    <t>https://www.mercadolivre.com.br/...</t>
  </si>
  <si>
    <t>Loja oficial Fiat</t>
  </si>
  <si>
    <t>2026-08-26</t>
  </si>
  <si>
    <t>havia outra oferta do mesmo codigo a R$ 399 com 4 vendidos; esta tinha +25 vendidos</t>
  </si>
  <si>
    <t>F1</t>
  </si>
  <si>
    <t>Fiat Strada, Fiat Argo, Fiat Mobi, Fiat Pulse</t>
  </si>
  <si>
    <t>Jogo Mopar ja confirmado: 60 cm condutor / 40 cm acompanhante, 2 unidades por pacote. Aplicacao declarada Argo, Cronos, Fastback, Fiorino, Mobi, Strada e Pulse.</t>
  </si>
  <si>
    <t>ESTA E A BUSCA MAIS IMPORTANTE DA LISTA: um codigo so resolve 4 modelos. Ja vimos DUAS ofertas deste codigo na loja oficial, a R$ 178,27 (+25 vendidos) e a R$ 399,00 (4 vendidos). Anote AS DUAS, com o numero de vendidos de cada uma.</t>
  </si>
  <si>
    <t>Loja oficial Fiat ML</t>
  </si>
  <si>
    <t>Genuino</t>
  </si>
  <si>
    <t>F1b</t>
  </si>
  <si>
    <t>https://www.mercadolivre.com.br/jogo-palheta-limpador-original-fiat-argo-mobi-pulse-fastback/up/MLBU3275415485</t>
  </si>
  <si>
    <t>F1c</t>
  </si>
  <si>
    <t>https://www.sogenuinasfiat.com.br/jogo-de-palhetas-dianteira-7092277</t>
  </si>
  <si>
    <t>Loja So Genuinas - oficial Mopar</t>
  </si>
  <si>
    <t>F2</t>
  </si>
  <si>
    <t>Fiat Argo, Fiat Pulse (codigo concorrente)</t>
  </si>
  <si>
    <t>Jogo, 24 pol / 600 mm no motorista e 16 pol / 400 mm no passageiro. Aplicacao declarada Argo, Cronos e Pulse.</t>
  </si>
  <si>
    <t>Este codigo compete com o 7092277 na MESMA aplicacao. O que precisamos descobrir: ele ainda existe na loja oficial ou foi substituido pelo 7092277? Se nao aparecer nenhum resultado, escreva NAO EXISTE MAIS na coluna sua_observacao - isso ja e a resposta.</t>
  </si>
  <si>
    <t>https://www.mercadolivre.com.br/jogo-palhetas-dianteira-original-argo-cronos-pulse/up/MLBU4304477126</t>
  </si>
  <si>
    <t>https://www.mercadolivre.com.br/jogo-de-palhetas-original-genuino-fiat-argo-cronos-todos/up/MLBU3281199034</t>
  </si>
  <si>
    <t>F3</t>
  </si>
  <si>
    <t>Fiat Toro, Jeep Compass, Jeep Commander</t>
  </si>
  <si>
    <t>Jogo Mopar. Compass medido em 24 pol / 610 mm e 17 pol / 432 mm; Commander em 24 pol / 610 mm e 18 pol / 457 mm.</t>
  </si>
  <si>
    <t>Um codigo, tres modelos, duas marcas. Pode aparecer tanto na loja da Fiat quanto na da Jeep - se aparecer nas duas com precos diferentes, anote as duas em linhas separadas.</t>
  </si>
  <si>
    <t>https://www.mercadolivre.com.br/jogo-palhetas-limpador-parabrisa-fiat-7089943/up/MLBU3337164366</t>
  </si>
  <si>
    <t>Original (mopar)</t>
  </si>
  <si>
    <t>F4</t>
  </si>
  <si>
    <t>traseiro</t>
  </si>
  <si>
    <t>Fiat Mobi</t>
  </si>
  <si>
    <t>Codigo NAO confirmado - veio de titulo de anuncio, nunca de pagina de concessionaria.</t>
  </si>
  <si>
    <t>Se a loja oficial nao tiver este codigo, busque 'palheta traseira Mobi' na loja e anote o codigo que aparecer. O objetivo aqui e tanto o preco quanto confirmar o codigo.</t>
  </si>
  <si>
    <t>https://www.mercadolivre.com.br/palheta-limpador-traseiro-fiat-novo-uno-2011-a-2019-original/up/MLBU595629569</t>
  </si>
  <si>
    <t>modelo original</t>
  </si>
  <si>
    <t>modelo genuino</t>
  </si>
  <si>
    <t>F5</t>
  </si>
  <si>
    <t>palheta traseira Argo</t>
  </si>
  <si>
    <t>Fiat Argo</t>
  </si>
  <si>
    <t>Sabemos que o Argo TEM limpador traseiro, mas nunca achamos o codigo da palheta avulsa - so o conjunto braco+palheta 52023770.</t>
  </si>
  <si>
    <t>Cuidado para nao anotar o BRACO com palheta. Queremos a palheta sozinha. Se so existir o conjunto, anote e escreva CONJUNTO BRACO+PALHETA na sua_observacao.</t>
  </si>
  <si>
    <t>fala que o produto é original na descrição</t>
  </si>
  <si>
    <t>F6</t>
  </si>
  <si>
    <t>palheta traseira Pulse</t>
  </si>
  <si>
    <t>Fiat Pulse</t>
  </si>
  <si>
    <t>Sabemos que o Pulse TEM limpador traseiro. Existe o braco traseiro 52157032, mas nao achamos a palheta avulsa.</t>
  </si>
  <si>
    <t>Mesma armadilha do Argo: nao confundir braco com palheta.</t>
  </si>
  <si>
    <t>não encontrado</t>
  </si>
  <si>
    <t>J1</t>
  </si>
  <si>
    <t>Jeep Renegade</t>
  </si>
  <si>
    <t>Par Mopar. Uma fonte diz 20 pol e 22 pol, mas NAO diz qual medida e de qual lado.</t>
  </si>
  <si>
    <t>Se o anuncio trouxer as duas medidas separadas por lado, isso preenche um buraco que esta aberto na base. Anote na sua_observacao.</t>
  </si>
  <si>
    <t>J2</t>
  </si>
  <si>
    <t>7093262</t>
  </si>
  <si>
    <t>Jeep Compass e Commander (codigo suspeito de ser o novo)</t>
  </si>
  <si>
    <t>Uma concessionaria lista este codigo para Compass e Commander 2024, sugerindo que substituiu o 7089943.</t>
  </si>
  <si>
    <t>Precisamos saber se este codigo existe na loja oficial e para quais anos. Se existir, anote a aplicacao completa que a pagina declarar.</t>
  </si>
  <si>
    <t>J3</t>
  </si>
  <si>
    <t>K68358390AA</t>
  </si>
  <si>
    <t>Jeep Compass</t>
  </si>
  <si>
    <t>Palheta traseira, 10 pol / 254 mm. Tambem aparece grafada como 68358390AA.</t>
  </si>
  <si>
    <t>Se o codigo com K nao retornar nada, tente sem o K.</t>
  </si>
  <si>
    <t>J4</t>
  </si>
  <si>
    <t>Palheta traseira Mopar, aplicacao confirmada para Renegade 2015-2021 e 2022 em diante.</t>
  </si>
  <si>
    <t>Codigo bem confirmado, so falta o preco.</t>
  </si>
  <si>
    <t>J5</t>
  </si>
  <si>
    <t>palheta traseira Commander</t>
  </si>
  <si>
    <t>Jeep Commander</t>
  </si>
  <si>
    <t>Sabemos que o Commander tem limpador traseiro, mas nao temos codigo nenhum.</t>
  </si>
  <si>
    <t>Anote o codigo que aparecer, alem do preco.</t>
  </si>
  <si>
    <t>R1</t>
  </si>
  <si>
    <t>RAM 1500</t>
  </si>
  <si>
    <t>Codigo unico que serve os dois lados. 23 pol / 584 mm cada lado. O catalogo Mopar exige 2 unidades por veiculo.</t>
  </si>
  <si>
    <t>CRITICO: confirme se o anuncio vende 1 ou 2 unidades. Se vender 1, o preco do par e o dobro - anote 1 em unidades_por_pacote e eu faco a conta.</t>
  </si>
  <si>
    <t>R2</t>
  </si>
  <si>
    <t>RAM 2500 e RAM 3500</t>
  </si>
  <si>
    <t>Codigo unico que serve os dois lados e as duas picapes. 23 pol / 584 mm cada lado. Exige 2 unidades por veiculo.</t>
  </si>
  <si>
    <t>Mesma armadilha do 1500: confirme quantas unidades vem no pacote.</t>
  </si>
  <si>
    <t>R3</t>
  </si>
  <si>
    <t>palheta dianteira Rampage</t>
  </si>
  <si>
    <t>RAM Rampage</t>
  </si>
  <si>
    <t>Nenhum codigo Mopar encontrado - a Rampage e exclusiva do Brasil e nao aparece no catalogo Mopar americano. Medida de reposicao: 24 pol e 18 pol (uma fonte diz 17).</t>
  </si>
  <si>
    <t>Anote o codigo que aparecer. Este e um dado novo, nao temos nada.</t>
  </si>
  <si>
    <t>R4</t>
  </si>
  <si>
    <t>palheta dianteira Dakota</t>
  </si>
  <si>
    <t>RAM Dakota</t>
  </si>
  <si>
    <t>Lancamento 2026, nenhum dado de palheta em nenhuma fonte.</t>
  </si>
  <si>
    <t>Pode nao existir ainda. Se nao houver, escreva SEM PECA PUBLICADA na sua_observacao - isso tambem e resposta.</t>
  </si>
  <si>
    <t>P1</t>
  </si>
  <si>
    <t>palheta dianteira 208</t>
  </si>
  <si>
    <t>Peugeot 208</t>
  </si>
  <si>
    <t>Nenhum dado levantado.</t>
  </si>
  <si>
    <t>Anote codigo, medidas se houver, e preco.</t>
  </si>
  <si>
    <t>P2</t>
  </si>
  <si>
    <t>palheta dianteira 2008</t>
  </si>
  <si>
    <t>Peugeot 2008</t>
  </si>
  <si>
    <t>P3</t>
  </si>
  <si>
    <t>palheta dianteira Partner</t>
  </si>
  <si>
    <t>Peugeot Partner</t>
  </si>
  <si>
    <t>Anote codigo e preco.</t>
  </si>
  <si>
    <t>P4</t>
  </si>
  <si>
    <t>palheta dianteira Expert</t>
  </si>
  <si>
    <t>Peugeot Expert</t>
  </si>
  <si>
    <t>P5</t>
  </si>
  <si>
    <t>palheta dianteira Boxer</t>
  </si>
  <si>
    <t>Peugeot Boxer</t>
  </si>
  <si>
    <t>P6</t>
  </si>
  <si>
    <t>palheta traseira 208</t>
  </si>
  <si>
    <t>Nao sabemos nem se o 208 brasileiro tem limpador traseiro.</t>
  </si>
  <si>
    <t>Se a loja nao tiver palheta traseira para o 208, escreva NAO ENCONTREI - ja ajuda.</t>
  </si>
  <si>
    <t>P7</t>
  </si>
  <si>
    <t>palheta traseira 2008</t>
  </si>
  <si>
    <t>Nao sabemos nem se o 2008 brasileiro tem limpador traseiro.</t>
  </si>
  <si>
    <t>Se a loja nao tiver, escreva NAO ENCONTREI.</t>
  </si>
  <si>
    <t>COMO PREENCHER</t>
  </si>
  <si>
    <t>As colunas AMARELAS (preco_brl ate sua_observacao) sao as unicas que voce preenche. Nao mexa nas colunas brancas.</t>
  </si>
  <si>
    <t>A linha EXEMPLO mostra o formato esperado. Apague essa linha antes de devolver o arquivo.</t>
  </si>
  <si>
    <t>preco_brl: o preco cheio a vista, sem desconto de Pix e sem parcelamento. Use virgula decimal, ex.: 178,27</t>
  </si>
  <si>
    <t>unidades_por_pacote: o campo 'Unidades por pacote' que aparece na aba Caracteristicas do anuncio. Este e o campo que resolve a duvida par-versus-unidade que travou tres linhas da base. Se o anuncio nao trouxer, escreva NAO DECLARADO.</t>
  </si>
  <si>
    <t>url_do_anuncio: cole a url inteira, mas corte tudo depois do ponto de interrogacao.</t>
  </si>
  <si>
    <t>vendedor_exato: escreva quem esta vendendo, exatamente como aparece. 'Loja oficial Fiat' e diferente de uma concessionaria e diferente de um revendedor.</t>
  </si>
  <si>
    <t>data_consulta: no formato AAAA-MM-DD. Preco de marketplace muda, entao a data e obrigatoria.</t>
  </si>
  <si>
    <t>sua_observacao: qualquer coisa estranha. Duas ofertas do mesmo codigo, codigo OEM diferente do que eu pedi, aplicacao que nao bate, produto indisponivel.</t>
  </si>
  <si>
    <t>SE APARECEREM DUAS OFERTAS DO MESMO CODIGO NA MESMA LOJA: anote as duas em linhas separadas (copie a linha e mude o id para F1-a e F1-b, por exemplo) e registre o numero de vendidos de cada uma na sua_observacao.</t>
  </si>
  <si>
    <t>SE NAO ENCONTRAR NADA: escreva NAO ENCONTREI na coluna sua_observacao. Buraco confirmado tambem e informacao - poupa o proximo que for procurar.</t>
  </si>
  <si>
    <t>id_modelo</t>
  </si>
  <si>
    <t>pn_dianteiro</t>
  </si>
  <si>
    <t>preco_dianteiro_par_brl</t>
  </si>
  <si>
    <t>preco_dianteiro_min_brl</t>
  </si>
  <si>
    <t>preco_dianteiro_max_brl</t>
  </si>
  <si>
    <t>ofertas_dianteiro</t>
  </si>
  <si>
    <t>tem_traseiro</t>
  </si>
  <si>
    <t>pn_traseiro</t>
  </si>
  <si>
    <t>preco_traseiro_unid_brl</t>
  </si>
  <si>
    <t>preco_veiculo_completo_brl</t>
  </si>
  <si>
    <t>canal_preco</t>
  </si>
  <si>
    <t>url_preco_dianteiro</t>
  </si>
  <si>
    <t>url_preco_traseiro</t>
  </si>
  <si>
    <t>status_preco</t>
  </si>
  <si>
    <t>Fiat|Strada</t>
  </si>
  <si>
    <t>Duas ofertas do mesmo codigo na loja oficial: 178,27 e 399,00. Em canal independente (So Genuinas) o mesmo codigo sai a 228,00.</t>
  </si>
  <si>
    <t>Fiat|Argo</t>
  </si>
  <si>
    <t>7092277 ou 7090652</t>
  </si>
  <si>
    <t>Dois codigos vigentes para a mesma aplicacao, quatro ofertas no total (178,27 / 188,66 / 280,33 / 399,00). A palheta traseira sozinha custa quase o par dianteiro.</t>
  </si>
  <si>
    <t>Fiat|Mobi</t>
  </si>
  <si>
    <t>Traseira com duas ofertas: 36,89 e 58,31; adotada a menor. Mesmo codigo atende Mobi e Novo Uno.</t>
  </si>
  <si>
    <t>Fiat|Toro</t>
  </si>
  <si>
    <t>Mesmo codigo atende Jeep Compass e Commander - confirmar preco na loja oficial Jeep antes de reaproveitar.</t>
  </si>
  <si>
    <t>Fiat|Pulse</t>
  </si>
  <si>
    <t>Palheta traseira nao encontrada na loja oficial apesar de o modelo ter limpador traseiro. Preco do veiculo completo fica em aberto.</t>
  </si>
  <si>
    <t>Volkswagen|Polo</t>
  </si>
  <si>
    <t>Sem preco coletado. Marca ainda nao passou pela coleta na loja oficial da montadora.</t>
  </si>
  <si>
    <t>Volkswagen|T-Cross</t>
  </si>
  <si>
    <t>Volkswagen|Tera</t>
  </si>
  <si>
    <t>Volkswagen|Nivus</t>
  </si>
  <si>
    <t>Volkswagen|Saveiro</t>
  </si>
  <si>
    <t>Chevrolet|Onix</t>
  </si>
  <si>
    <t>Chevrolet|Tracker</t>
  </si>
  <si>
    <t>Chevrolet|Onix Plus</t>
  </si>
  <si>
    <t>Chevrolet|S10</t>
  </si>
  <si>
    <t>Chevrolet|Spin</t>
  </si>
  <si>
    <t>Hyundai|HB20</t>
  </si>
  <si>
    <t>Hyundai|Creta</t>
  </si>
  <si>
    <t>Hyundai|HB20S</t>
  </si>
  <si>
    <t>Hyundai|i20</t>
  </si>
  <si>
    <t>Hyundai|HR</t>
  </si>
  <si>
    <t>Toyota|Hilux</t>
  </si>
  <si>
    <t>Toyota|Corolla Cross</t>
  </si>
  <si>
    <t>Toyota|Yaris Cross</t>
  </si>
  <si>
    <t>Toyota|Corolla</t>
  </si>
  <si>
    <t>Toyota|Hilux SW4</t>
  </si>
  <si>
    <t>Renault|Kwid</t>
  </si>
  <si>
    <t>Renault|Kardian</t>
  </si>
  <si>
    <t>Renault|Duster</t>
  </si>
  <si>
    <t>Renault|Boreal</t>
  </si>
  <si>
    <t>Renault|Master</t>
  </si>
  <si>
    <t>Jeep|Compass</t>
  </si>
  <si>
    <t>Jeep|Renegade</t>
  </si>
  <si>
    <t>Jeep|Commander</t>
  </si>
  <si>
    <t>BYD|Dolphin Mini</t>
  </si>
  <si>
    <t>BYD|Song</t>
  </si>
  <si>
    <t>BYD|Dolphin</t>
  </si>
  <si>
    <t>BYD|King</t>
  </si>
  <si>
    <t>BYD|Yuan</t>
  </si>
  <si>
    <t>Honda|HR-V</t>
  </si>
  <si>
    <t>Honda|WR-V</t>
  </si>
  <si>
    <t>Honda|City</t>
  </si>
  <si>
    <t>Honda|City Hatch</t>
  </si>
  <si>
    <t>Honda|Civic</t>
  </si>
  <si>
    <t>Nissan|Kicks</t>
  </si>
  <si>
    <t>Nissan|Kait</t>
  </si>
  <si>
    <t>Nissan|Versa</t>
  </si>
  <si>
    <t>Nissan|Frontier</t>
  </si>
  <si>
    <t>Nissan|Sentra</t>
  </si>
  <si>
    <t>CAOA Chery|Tiggo 5X</t>
  </si>
  <si>
    <t>CAOA Chery|Tiggo 7</t>
  </si>
  <si>
    <t>CAOA Chery|Tiggo 8</t>
  </si>
  <si>
    <t>CAOA Chery|Arrizo 6</t>
  </si>
  <si>
    <t>Ford|Ranger</t>
  </si>
  <si>
    <t>Ford|Territory</t>
  </si>
  <si>
    <t>Ford|Maverick</t>
  </si>
  <si>
    <t>Ford|Transit</t>
  </si>
  <si>
    <t>Ford|F-150</t>
  </si>
  <si>
    <t>GWM|Haval H6</t>
  </si>
  <si>
    <t>GWM|Haval H9</t>
  </si>
  <si>
    <t>GWM|Poer</t>
  </si>
  <si>
    <t>GWM|Tank 300</t>
  </si>
  <si>
    <t>GWM|Ora 03</t>
  </si>
  <si>
    <t>RAM|Rampage</t>
  </si>
  <si>
    <t>RAM|Dakota</t>
  </si>
  <si>
    <t>RAM|3500</t>
  </si>
  <si>
    <t>RAM|2500</t>
  </si>
  <si>
    <t>RAM|1500</t>
  </si>
  <si>
    <t>Mitsubishi|Triton</t>
  </si>
  <si>
    <t>Mitsubishi|Eclipse Cross</t>
  </si>
  <si>
    <t>Mitsubishi|L200</t>
  </si>
  <si>
    <t>Peugeot|2008</t>
  </si>
  <si>
    <t>Peugeot|208</t>
  </si>
  <si>
    <t>Peugeot|Expert</t>
  </si>
  <si>
    <t>Peugeot|Boxer</t>
  </si>
  <si>
    <t>Peugeot|Partner</t>
  </si>
  <si>
    <t>Iveco|Daily</t>
  </si>
  <si>
    <t>Iveco|Daily 30-130</t>
  </si>
  <si>
    <t>Iveco|Daily 35-180</t>
  </si>
  <si>
    <t>Omoda Jaecoo|Omoda 5</t>
  </si>
  <si>
    <t>Omoda Jaecoo|Jaecoo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</si>
</sst>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m/d/yyyy"/>
  </numFmts>
  <fonts count="5" x14ac:knownFonts="1">
    <font>
      <sz val="11"/>
      <color theme="1"/>
      <name val="Calibri"/>
      <family val="2"/>
      <charset val="1"/>
    </font>
    <font>
      <b/>
      <sz val="10"/>
      <name val="Arial"/>
      <charset val="1"/>
    </font>
    <font>
      <sz val="10"/>
      <name val="Arial"/>
      <charset val="1"/>
    </font>
    <font>
      <i/>
      <sz val="10"/>
      <color rgb="FF808080"/>
      <name val="Arial"/>
      <charset val="1"/>
    </font>
    <font>
      <u/>
      <sz val="11"/>
      <color theme="10"/>
      <name val="Calibri"/>
      <family val="2"/>
      <charset val="1"/>
    </font>
  </fonts>
  <fills count="4">
    <fill>
      <patternFill patternType="none"/>
    </fill>
    <fill>
      <patternFill patternType="gray125"/>
    </fill>
    <fill>
      <patternFill patternType="solid">
        <fgColor rgb="FFD9D9D9"/>
        <bgColor rgb="FFBFBFBF"/>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 fillId="0" borderId="0"/>
  </cellStyleXfs>
  <cellXfs count="21">
    <xf numFmtId="0" fontId="0" fillId="0" borderId="0" xfId="0"/>
    <xf numFmtId="0" fontId="1" fillId="2" borderId="0" xfId="0" applyFont="1" applyFill="1" applyAlignment="1">
      <alignment vertical="center"/>
    </xf>
    <xf numFmtId="0" fontId="2" fillId="0" borderId="0" xfId="0" applyFont="1"/>
    <xf numFmtId="3" fontId="2" fillId="0" borderId="0" xfId="0" applyNumberFormat="1" applyFont="1"/>
    <xf numFmtId="164" fontId="2" fillId="0" borderId="0" xfId="0" applyNumberFormat="1" applyFont="1"/>
    <xf numFmtId="165" fontId="2" fillId="0" borderId="0" xfId="0" applyNumberFormat="1" applyFont="1"/>
    <xf numFmtId="0" fontId="1" fillId="2" borderId="0" xfId="0" applyFont="1" applyFill="1"/>
    <xf numFmtId="0" fontId="1" fillId="0" borderId="0" xfId="0" applyFont="1"/>
    <xf numFmtId="4" fontId="2" fillId="0" borderId="0" xfId="0" applyNumberFormat="1" applyFont="1"/>
    <xf numFmtId="0" fontId="1" fillId="2" borderId="0" xfId="0" applyFont="1" applyFill="1" applyAlignment="1">
      <alignment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4" fillId="3" borderId="1" xfId="1" applyFill="1" applyBorder="1" applyAlignment="1">
      <alignment vertical="top"/>
    </xf>
    <xf numFmtId="166" fontId="2" fillId="3" borderId="1" xfId="0" applyNumberFormat="1" applyFont="1" applyFill="1" applyBorder="1" applyAlignment="1">
      <alignment vertical="top"/>
    </xf>
    <xf numFmtId="0" fontId="2" fillId="3" borderId="1" xfId="0" applyFont="1" applyFill="1" applyBorder="1" applyAlignment="1">
      <alignment vertical="top" wrapText="1"/>
    </xf>
    <xf numFmtId="4"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sogenuinasfiat.com.br/jogo-de-palhetas-dianteira-7092277" TargetMode="External"/><Relationship Id="rId2" Type="http://schemas.openxmlformats.org/officeDocument/2006/relationships/hyperlink" Target="https://www.mercadolivre.com.br/jogo-palheta-limpador-original-fiat-argo-mobi-pulse-fastback/up/MLBU3275415485" TargetMode="External"/><Relationship Id="rId1" Type="http://schemas.openxmlformats.org/officeDocument/2006/relationships/hyperlink" Target="https://www.mercadolivre.com.br/jogo-palheta-limpador-original-fiat-argo-mobi-pulse-fastback/up/MLBU3678496504" TargetMode="External"/><Relationship Id="rId6" Type="http://schemas.openxmlformats.org/officeDocument/2006/relationships/hyperlink" Target="https://www.mercadolivre.com.br/jogo-palhetas-limpador-fiat-toro-compass-commander-original/up/MLBU3739584783" TargetMode="External"/><Relationship Id="rId5" Type="http://schemas.openxmlformats.org/officeDocument/2006/relationships/hyperlink" Target="https://www.mercadolivre.com.br/jogo-palhetas-limpador-parabrisa-fiat-7089943/up/MLBU3337164366" TargetMode="External"/><Relationship Id="rId4" Type="http://schemas.openxmlformats.org/officeDocument/2006/relationships/hyperlink" Target="https://www.mercadolivre.com.br/jogo-palhetas-dianteira-original-argo-cronos-pulse/up/MLBU43044771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6" customWidth="1"/>
    <col min="3" max="3" width="15" customWidth="1"/>
    <col min="4" max="4" width="17" customWidth="1"/>
    <col min="5" max="6" width="22" customWidth="1"/>
    <col min="7" max="7" width="20" customWidth="1"/>
    <col min="8" max="8" width="12" customWidth="1"/>
    <col min="9" max="10" width="40" customWidth="1"/>
    <col min="11" max="11" width="52" customWidth="1"/>
    <col min="12" max="12" width="14" customWidth="1"/>
    <col min="13" max="13" width="70" customWidth="1"/>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v>1</v>
      </c>
      <c r="E2" s="3">
        <v>97941</v>
      </c>
      <c r="F2" s="3">
        <v>75592</v>
      </c>
      <c r="G2" s="3">
        <v>142891</v>
      </c>
      <c r="H2" s="4">
        <f t="shared" ref="H2:H33" si="0">IF(OR(E2="",F2=""),"",E2/F2-1)</f>
        <v>0.29565297915123301</v>
      </c>
      <c r="I2" s="2" t="s">
        <v>16</v>
      </c>
      <c r="J2" s="2" t="s">
        <v>17</v>
      </c>
      <c r="K2" s="2" t="s">
        <v>18</v>
      </c>
      <c r="L2" s="5">
        <v>46254</v>
      </c>
      <c r="M2" s="2" t="s">
        <v>19</v>
      </c>
    </row>
    <row r="3" spans="1:13" ht="15" customHeight="1" x14ac:dyDescent="0.25">
      <c r="A3" s="2" t="s">
        <v>13</v>
      </c>
      <c r="B3" s="2" t="s">
        <v>20</v>
      </c>
      <c r="C3" s="2" t="s">
        <v>21</v>
      </c>
      <c r="D3" s="2">
        <v>2</v>
      </c>
      <c r="E3" s="3">
        <v>54641</v>
      </c>
      <c r="F3" s="3">
        <v>54432</v>
      </c>
      <c r="G3" s="3">
        <v>102630</v>
      </c>
      <c r="H3" s="4">
        <f t="shared" si="0"/>
        <v>3.8396531452087324E-3</v>
      </c>
      <c r="I3" s="2" t="s">
        <v>16</v>
      </c>
      <c r="J3" s="2" t="s">
        <v>17</v>
      </c>
      <c r="K3" s="2" t="s">
        <v>18</v>
      </c>
      <c r="L3" s="5">
        <v>46254</v>
      </c>
      <c r="M3" s="2" t="s">
        <v>22</v>
      </c>
    </row>
    <row r="4" spans="1:13" ht="15" customHeight="1" x14ac:dyDescent="0.25">
      <c r="A4" s="2" t="s">
        <v>13</v>
      </c>
      <c r="B4" s="2" t="s">
        <v>23</v>
      </c>
      <c r="C4" s="2" t="s">
        <v>21</v>
      </c>
      <c r="D4" s="2">
        <v>3</v>
      </c>
      <c r="E4" s="3">
        <v>38685</v>
      </c>
      <c r="F4" s="3">
        <v>41329</v>
      </c>
      <c r="G4" s="3">
        <v>73011</v>
      </c>
      <c r="H4" s="4">
        <f t="shared" si="0"/>
        <v>-6.3974448934162487E-2</v>
      </c>
      <c r="I4" s="2" t="s">
        <v>16</v>
      </c>
      <c r="J4" s="2" t="s">
        <v>17</v>
      </c>
      <c r="K4" s="2" t="s">
        <v>18</v>
      </c>
      <c r="L4" s="5">
        <v>46254</v>
      </c>
      <c r="M4" s="2" t="s">
        <v>22</v>
      </c>
    </row>
    <row r="5" spans="1:13" ht="15" customHeight="1" x14ac:dyDescent="0.25">
      <c r="A5" s="2" t="s">
        <v>13</v>
      </c>
      <c r="B5" s="2" t="s">
        <v>24</v>
      </c>
      <c r="C5" s="2" t="s">
        <v>15</v>
      </c>
      <c r="D5" s="2">
        <v>4</v>
      </c>
      <c r="E5" s="3">
        <v>31696</v>
      </c>
      <c r="F5" s="3">
        <v>27317</v>
      </c>
      <c r="G5" s="3">
        <v>52129</v>
      </c>
      <c r="H5" s="4">
        <f t="shared" si="0"/>
        <v>0.16030310795475344</v>
      </c>
      <c r="I5" s="2" t="s">
        <v>16</v>
      </c>
      <c r="J5" s="2" t="s">
        <v>17</v>
      </c>
      <c r="K5" s="2" t="s">
        <v>18</v>
      </c>
      <c r="L5" s="5">
        <v>46254</v>
      </c>
      <c r="M5" s="2" t="s">
        <v>22</v>
      </c>
    </row>
    <row r="6" spans="1:13" ht="15" customHeight="1" x14ac:dyDescent="0.25">
      <c r="A6" s="2" t="s">
        <v>13</v>
      </c>
      <c r="B6" s="2" t="s">
        <v>25</v>
      </c>
      <c r="C6" s="2" t="s">
        <v>26</v>
      </c>
      <c r="D6" s="2">
        <v>5</v>
      </c>
      <c r="E6" s="3">
        <v>30154</v>
      </c>
      <c r="F6" s="3">
        <v>25099</v>
      </c>
      <c r="G6" s="3">
        <v>44426</v>
      </c>
      <c r="H6" s="4">
        <f t="shared" si="0"/>
        <v>0.20140244631260207</v>
      </c>
      <c r="I6" s="2" t="s">
        <v>16</v>
      </c>
      <c r="J6" s="2" t="s">
        <v>17</v>
      </c>
      <c r="K6" s="2" t="s">
        <v>18</v>
      </c>
      <c r="L6" s="5">
        <v>46254</v>
      </c>
      <c r="M6" s="2" t="s">
        <v>22</v>
      </c>
    </row>
    <row r="7" spans="1:13" ht="15" customHeight="1" x14ac:dyDescent="0.25">
      <c r="A7" s="2" t="s">
        <v>27</v>
      </c>
      <c r="B7" s="2" t="s">
        <v>28</v>
      </c>
      <c r="C7" s="2" t="s">
        <v>21</v>
      </c>
      <c r="D7" s="2">
        <v>1</v>
      </c>
      <c r="E7" s="3">
        <v>64431</v>
      </c>
      <c r="F7" s="3">
        <v>70155</v>
      </c>
      <c r="G7" s="3">
        <v>122672</v>
      </c>
      <c r="H7" s="4">
        <f t="shared" si="0"/>
        <v>-8.1590763309813963E-2</v>
      </c>
      <c r="I7" s="2" t="s">
        <v>16</v>
      </c>
      <c r="J7" s="2" t="s">
        <v>17</v>
      </c>
      <c r="K7" s="2" t="s">
        <v>18</v>
      </c>
      <c r="L7" s="5">
        <v>46254</v>
      </c>
      <c r="M7" s="2" t="s">
        <v>29</v>
      </c>
    </row>
    <row r="8" spans="1:13" ht="15" customHeight="1" x14ac:dyDescent="0.25">
      <c r="A8" s="2" t="s">
        <v>27</v>
      </c>
      <c r="B8" s="2" t="s">
        <v>30</v>
      </c>
      <c r="C8" s="2" t="s">
        <v>26</v>
      </c>
      <c r="D8" s="2">
        <v>2</v>
      </c>
      <c r="E8" s="3">
        <v>55118</v>
      </c>
      <c r="F8" s="3">
        <v>53551</v>
      </c>
      <c r="G8" s="3">
        <v>92837</v>
      </c>
      <c r="H8" s="4">
        <f t="shared" si="0"/>
        <v>2.92618251760004E-2</v>
      </c>
      <c r="I8" s="2" t="s">
        <v>16</v>
      </c>
      <c r="J8" s="2" t="s">
        <v>17</v>
      </c>
      <c r="K8" s="2" t="s">
        <v>18</v>
      </c>
      <c r="L8" s="5">
        <v>46254</v>
      </c>
      <c r="M8" s="2" t="s">
        <v>29</v>
      </c>
    </row>
    <row r="9" spans="1:13" ht="15" customHeight="1" x14ac:dyDescent="0.25">
      <c r="A9" s="2" t="s">
        <v>27</v>
      </c>
      <c r="B9" s="2" t="s">
        <v>31</v>
      </c>
      <c r="C9" s="2" t="s">
        <v>26</v>
      </c>
      <c r="D9" s="2">
        <v>3</v>
      </c>
      <c r="E9" s="3">
        <v>51585</v>
      </c>
      <c r="F9" s="3">
        <v>5994</v>
      </c>
      <c r="G9" s="3">
        <v>48139</v>
      </c>
      <c r="H9" s="4">
        <f t="shared" si="0"/>
        <v>7.6061061061061057</v>
      </c>
      <c r="I9" s="2" t="s">
        <v>16</v>
      </c>
      <c r="J9" s="2" t="s">
        <v>17</v>
      </c>
      <c r="K9" s="2" t="s">
        <v>18</v>
      </c>
      <c r="L9" s="5">
        <v>46254</v>
      </c>
      <c r="M9" s="2" t="s">
        <v>32</v>
      </c>
    </row>
    <row r="10" spans="1:13" ht="15" customHeight="1" x14ac:dyDescent="0.25">
      <c r="A10" s="2" t="s">
        <v>27</v>
      </c>
      <c r="B10" s="2" t="s">
        <v>33</v>
      </c>
      <c r="C10" s="2" t="s">
        <v>26</v>
      </c>
      <c r="D10" s="2">
        <v>4</v>
      </c>
      <c r="E10" s="3">
        <v>32235</v>
      </c>
      <c r="F10" s="3">
        <v>28375</v>
      </c>
      <c r="G10" s="3">
        <v>48690</v>
      </c>
      <c r="H10" s="4">
        <f t="shared" si="0"/>
        <v>0.13603524229074893</v>
      </c>
      <c r="I10" s="2" t="s">
        <v>16</v>
      </c>
      <c r="J10" s="2" t="s">
        <v>17</v>
      </c>
      <c r="K10" s="2" t="s">
        <v>18</v>
      </c>
      <c r="L10" s="5">
        <v>46254</v>
      </c>
      <c r="M10" s="2" t="s">
        <v>34</v>
      </c>
    </row>
    <row r="11" spans="1:13" ht="15" customHeight="1" x14ac:dyDescent="0.25">
      <c r="A11" s="2" t="s">
        <v>27</v>
      </c>
      <c r="B11" s="2" t="s">
        <v>35</v>
      </c>
      <c r="C11" s="2" t="s">
        <v>15</v>
      </c>
      <c r="D11" s="2">
        <v>5</v>
      </c>
      <c r="E11" s="3">
        <v>28588</v>
      </c>
      <c r="F11" s="3">
        <v>34843</v>
      </c>
      <c r="G11" s="3">
        <v>67752</v>
      </c>
      <c r="H11" s="4">
        <f t="shared" si="0"/>
        <v>-0.17951955916539908</v>
      </c>
      <c r="I11" s="2" t="s">
        <v>16</v>
      </c>
      <c r="J11" s="2" t="s">
        <v>17</v>
      </c>
      <c r="K11" s="2" t="s">
        <v>18</v>
      </c>
      <c r="L11" s="5">
        <v>46254</v>
      </c>
      <c r="M11" s="2" t="s">
        <v>36</v>
      </c>
    </row>
    <row r="12" spans="1:13" ht="15" customHeight="1" x14ac:dyDescent="0.25">
      <c r="A12" s="2" t="s">
        <v>37</v>
      </c>
      <c r="B12" s="2" t="s">
        <v>38</v>
      </c>
      <c r="C12" s="2" t="s">
        <v>21</v>
      </c>
      <c r="D12" s="2">
        <v>1</v>
      </c>
      <c r="E12" s="3">
        <v>54421</v>
      </c>
      <c r="F12" s="3">
        <v>42078</v>
      </c>
      <c r="G12" s="3">
        <v>79886</v>
      </c>
      <c r="H12" s="4">
        <f t="shared" si="0"/>
        <v>0.2933361851799039</v>
      </c>
      <c r="I12" s="2" t="s">
        <v>16</v>
      </c>
      <c r="J12" s="2" t="s">
        <v>17</v>
      </c>
      <c r="K12" s="2" t="s">
        <v>18</v>
      </c>
      <c r="L12" s="5">
        <v>46254</v>
      </c>
      <c r="M12" s="2" t="s">
        <v>39</v>
      </c>
    </row>
    <row r="13" spans="1:13" ht="15" customHeight="1" x14ac:dyDescent="0.25">
      <c r="A13" s="2" t="s">
        <v>37</v>
      </c>
      <c r="B13" s="2" t="s">
        <v>40</v>
      </c>
      <c r="C13" s="2" t="s">
        <v>26</v>
      </c>
      <c r="D13" s="2">
        <v>2</v>
      </c>
      <c r="E13" s="3">
        <v>34805</v>
      </c>
      <c r="F13" s="3">
        <v>34212</v>
      </c>
      <c r="G13" s="3">
        <v>60867</v>
      </c>
      <c r="H13" s="4">
        <f t="shared" si="0"/>
        <v>1.733309949725248E-2</v>
      </c>
      <c r="I13" s="2" t="s">
        <v>16</v>
      </c>
      <c r="J13" s="2" t="s">
        <v>17</v>
      </c>
      <c r="K13" s="2" t="s">
        <v>18</v>
      </c>
      <c r="L13" s="5">
        <v>46254</v>
      </c>
      <c r="M13" s="2" t="s">
        <v>41</v>
      </c>
    </row>
    <row r="14" spans="1:13" ht="15" customHeight="1" x14ac:dyDescent="0.25">
      <c r="A14" s="2" t="s">
        <v>37</v>
      </c>
      <c r="B14" s="2" t="s">
        <v>42</v>
      </c>
      <c r="C14" s="2" t="s">
        <v>43</v>
      </c>
      <c r="D14" s="2">
        <v>3</v>
      </c>
      <c r="E14" s="3">
        <v>23921</v>
      </c>
      <c r="F14" s="3">
        <v>24667</v>
      </c>
      <c r="G14" s="3">
        <v>52958</v>
      </c>
      <c r="H14" s="4">
        <f t="shared" si="0"/>
        <v>-3.0242834556289733E-2</v>
      </c>
      <c r="I14" s="2" t="s">
        <v>16</v>
      </c>
      <c r="J14" s="2" t="s">
        <v>17</v>
      </c>
      <c r="K14" s="2" t="s">
        <v>18</v>
      </c>
      <c r="L14" s="5">
        <v>46254</v>
      </c>
      <c r="M14" s="2" t="s">
        <v>44</v>
      </c>
    </row>
    <row r="15" spans="1:13" ht="15" customHeight="1" x14ac:dyDescent="0.25">
      <c r="A15" s="2" t="s">
        <v>37</v>
      </c>
      <c r="B15" s="2" t="s">
        <v>45</v>
      </c>
      <c r="C15" s="2" t="s">
        <v>15</v>
      </c>
      <c r="D15" s="2">
        <v>4</v>
      </c>
      <c r="E15" s="3">
        <v>17570</v>
      </c>
      <c r="F15" s="3">
        <v>16429</v>
      </c>
      <c r="G15" s="3">
        <v>31451</v>
      </c>
      <c r="H15" s="4">
        <f t="shared" si="0"/>
        <v>6.9450362164465318E-2</v>
      </c>
      <c r="I15" s="2" t="s">
        <v>16</v>
      </c>
      <c r="J15" s="2" t="s">
        <v>17</v>
      </c>
      <c r="K15" s="2" t="s">
        <v>18</v>
      </c>
      <c r="L15" s="5">
        <v>46254</v>
      </c>
      <c r="M15" s="2" t="s">
        <v>41</v>
      </c>
    </row>
    <row r="16" spans="1:13" ht="15" customHeight="1" x14ac:dyDescent="0.25">
      <c r="A16" s="2" t="s">
        <v>37</v>
      </c>
      <c r="B16" s="2" t="s">
        <v>46</v>
      </c>
      <c r="C16" s="2" t="s">
        <v>47</v>
      </c>
      <c r="D16" s="2">
        <v>5</v>
      </c>
      <c r="E16" s="3">
        <v>11678</v>
      </c>
      <c r="F16" s="3">
        <v>12290</v>
      </c>
      <c r="G16" s="3">
        <v>22741</v>
      </c>
      <c r="H16" s="4">
        <f t="shared" si="0"/>
        <v>-4.979658258746944E-2</v>
      </c>
      <c r="I16" s="2" t="s">
        <v>16</v>
      </c>
      <c r="J16" s="2" t="s">
        <v>17</v>
      </c>
      <c r="K16" s="2" t="s">
        <v>18</v>
      </c>
      <c r="L16" s="5">
        <v>46254</v>
      </c>
      <c r="M16" s="2" t="s">
        <v>48</v>
      </c>
    </row>
    <row r="17" spans="1:13" ht="15" customHeight="1" x14ac:dyDescent="0.25">
      <c r="A17" s="2" t="s">
        <v>49</v>
      </c>
      <c r="B17" s="2" t="s">
        <v>50</v>
      </c>
      <c r="C17" s="2" t="s">
        <v>21</v>
      </c>
      <c r="D17" s="2">
        <v>1</v>
      </c>
      <c r="E17" s="3">
        <v>41966</v>
      </c>
      <c r="F17" s="3">
        <v>42392</v>
      </c>
      <c r="G17" s="3">
        <v>85029</v>
      </c>
      <c r="H17" s="4">
        <f t="shared" si="0"/>
        <v>-1.0049065861483353E-2</v>
      </c>
      <c r="I17" s="2" t="s">
        <v>16</v>
      </c>
      <c r="J17" s="2" t="s">
        <v>17</v>
      </c>
      <c r="K17" s="2" t="s">
        <v>18</v>
      </c>
      <c r="L17" s="5">
        <v>46254</v>
      </c>
      <c r="M17" s="2" t="s">
        <v>51</v>
      </c>
    </row>
    <row r="18" spans="1:13" ht="15" customHeight="1" x14ac:dyDescent="0.25">
      <c r="A18" s="2" t="s">
        <v>49</v>
      </c>
      <c r="B18" s="2" t="s">
        <v>52</v>
      </c>
      <c r="C18" s="2" t="s">
        <v>26</v>
      </c>
      <c r="D18" s="2">
        <v>2</v>
      </c>
      <c r="E18" s="3">
        <v>41805</v>
      </c>
      <c r="F18" s="3">
        <v>39032</v>
      </c>
      <c r="G18" s="3">
        <v>76156</v>
      </c>
      <c r="H18" s="4">
        <f t="shared" si="0"/>
        <v>7.1044271367083356E-2</v>
      </c>
      <c r="I18" s="2" t="s">
        <v>16</v>
      </c>
      <c r="J18" s="2" t="s">
        <v>17</v>
      </c>
      <c r="K18" s="2" t="s">
        <v>18</v>
      </c>
      <c r="L18" s="5">
        <v>46254</v>
      </c>
      <c r="M18" s="2" t="s">
        <v>51</v>
      </c>
    </row>
    <row r="19" spans="1:13" ht="15" customHeight="1" x14ac:dyDescent="0.25">
      <c r="A19" s="2" t="s">
        <v>49</v>
      </c>
      <c r="B19" s="2" t="s">
        <v>53</v>
      </c>
      <c r="C19" s="2" t="s">
        <v>43</v>
      </c>
      <c r="D19" s="2">
        <v>3</v>
      </c>
      <c r="E19" s="3">
        <v>22214</v>
      </c>
      <c r="F19" s="3">
        <v>17569</v>
      </c>
      <c r="G19" s="3">
        <v>36947</v>
      </c>
      <c r="H19" s="4">
        <f t="shared" si="0"/>
        <v>0.26438613466901928</v>
      </c>
      <c r="I19" s="2" t="s">
        <v>16</v>
      </c>
      <c r="J19" s="2" t="s">
        <v>17</v>
      </c>
      <c r="K19" s="2" t="s">
        <v>18</v>
      </c>
      <c r="L19" s="5">
        <v>46254</v>
      </c>
      <c r="M19" s="2" t="s">
        <v>54</v>
      </c>
    </row>
    <row r="20" spans="1:13" ht="15" customHeight="1" x14ac:dyDescent="0.25">
      <c r="A20" s="2" t="s">
        <v>49</v>
      </c>
      <c r="B20" s="2" t="s">
        <v>55</v>
      </c>
      <c r="C20" s="2" t="s">
        <v>21</v>
      </c>
      <c r="D20" s="2">
        <v>4</v>
      </c>
      <c r="E20" s="3">
        <v>3344</v>
      </c>
      <c r="F20" s="3"/>
      <c r="G20" s="3"/>
      <c r="H20" s="4" t="str">
        <f t="shared" si="0"/>
        <v/>
      </c>
      <c r="I20" s="2" t="s">
        <v>16</v>
      </c>
      <c r="J20" s="2" t="s">
        <v>17</v>
      </c>
      <c r="K20" s="2" t="s">
        <v>18</v>
      </c>
      <c r="L20" s="5">
        <v>46254</v>
      </c>
      <c r="M20" s="2" t="s">
        <v>56</v>
      </c>
    </row>
    <row r="21" spans="1:13" ht="15" customHeight="1" x14ac:dyDescent="0.25">
      <c r="A21" s="2" t="s">
        <v>49</v>
      </c>
      <c r="B21" s="2" t="s">
        <v>57</v>
      </c>
      <c r="C21" s="2" t="s">
        <v>58</v>
      </c>
      <c r="D21" s="2">
        <v>5</v>
      </c>
      <c r="E21" s="3">
        <v>82</v>
      </c>
      <c r="F21" s="3">
        <v>2282</v>
      </c>
      <c r="G21" s="3">
        <v>2996</v>
      </c>
      <c r="H21" s="4">
        <f t="shared" si="0"/>
        <v>-0.96406660823838741</v>
      </c>
      <c r="I21" s="2" t="s">
        <v>16</v>
      </c>
      <c r="J21" s="2" t="s">
        <v>17</v>
      </c>
      <c r="K21" s="2" t="s">
        <v>18</v>
      </c>
      <c r="L21" s="5">
        <v>46254</v>
      </c>
      <c r="M21" s="2" t="s">
        <v>59</v>
      </c>
    </row>
    <row r="22" spans="1:13" ht="15" customHeight="1" x14ac:dyDescent="0.25">
      <c r="A22" s="2" t="s">
        <v>60</v>
      </c>
      <c r="B22" s="2" t="s">
        <v>61</v>
      </c>
      <c r="C22" s="2" t="s">
        <v>15</v>
      </c>
      <c r="D22" s="2">
        <v>1</v>
      </c>
      <c r="E22" s="3">
        <v>26732</v>
      </c>
      <c r="F22" s="3">
        <v>28521</v>
      </c>
      <c r="G22" s="3">
        <v>49721</v>
      </c>
      <c r="H22" s="4">
        <f t="shared" si="0"/>
        <v>-6.272571087970269E-2</v>
      </c>
      <c r="I22" s="2" t="s">
        <v>16</v>
      </c>
      <c r="J22" s="2" t="s">
        <v>17</v>
      </c>
      <c r="K22" s="2" t="s">
        <v>18</v>
      </c>
      <c r="L22" s="5">
        <v>46254</v>
      </c>
      <c r="M22" s="2" t="s">
        <v>62</v>
      </c>
    </row>
    <row r="23" spans="1:13" ht="15" customHeight="1" x14ac:dyDescent="0.25">
      <c r="A23" s="2" t="s">
        <v>60</v>
      </c>
      <c r="B23" s="2" t="s">
        <v>63</v>
      </c>
      <c r="C23" s="2" t="s">
        <v>26</v>
      </c>
      <c r="D23" s="2">
        <v>2</v>
      </c>
      <c r="E23" s="3">
        <v>22299</v>
      </c>
      <c r="F23" s="3">
        <v>36955</v>
      </c>
      <c r="G23" s="3">
        <v>59674</v>
      </c>
      <c r="H23" s="4">
        <f t="shared" si="0"/>
        <v>-0.39659044784196995</v>
      </c>
      <c r="I23" s="2" t="s">
        <v>16</v>
      </c>
      <c r="J23" s="2" t="s">
        <v>17</v>
      </c>
      <c r="K23" s="2" t="s">
        <v>18</v>
      </c>
      <c r="L23" s="5">
        <v>46254</v>
      </c>
      <c r="M23" s="2" t="s">
        <v>62</v>
      </c>
    </row>
    <row r="24" spans="1:13" ht="15" customHeight="1" x14ac:dyDescent="0.25">
      <c r="A24" s="2" t="s">
        <v>60</v>
      </c>
      <c r="B24" s="2" t="s">
        <v>64</v>
      </c>
      <c r="C24" s="2" t="s">
        <v>26</v>
      </c>
      <c r="D24" s="2">
        <v>3</v>
      </c>
      <c r="E24" s="3">
        <v>20669</v>
      </c>
      <c r="F24" s="3"/>
      <c r="G24" s="3"/>
      <c r="H24" s="4" t="str">
        <f t="shared" si="0"/>
        <v/>
      </c>
      <c r="I24" s="2" t="s">
        <v>16</v>
      </c>
      <c r="J24" s="2" t="s">
        <v>17</v>
      </c>
      <c r="K24" s="2" t="s">
        <v>18</v>
      </c>
      <c r="L24" s="5">
        <v>46254</v>
      </c>
      <c r="M24" s="2" t="s">
        <v>65</v>
      </c>
    </row>
    <row r="25" spans="1:13" ht="15" customHeight="1" x14ac:dyDescent="0.25">
      <c r="A25" s="2" t="s">
        <v>60</v>
      </c>
      <c r="B25" s="2" t="s">
        <v>66</v>
      </c>
      <c r="C25" s="2" t="s">
        <v>43</v>
      </c>
      <c r="D25" s="2">
        <v>4</v>
      </c>
      <c r="E25" s="3">
        <v>14686</v>
      </c>
      <c r="F25" s="3">
        <v>21566</v>
      </c>
      <c r="G25" s="3">
        <v>33170</v>
      </c>
      <c r="H25" s="4">
        <f t="shared" si="0"/>
        <v>-0.31902068070110357</v>
      </c>
      <c r="I25" s="2" t="s">
        <v>16</v>
      </c>
      <c r="J25" s="2" t="s">
        <v>17</v>
      </c>
      <c r="K25" s="2" t="s">
        <v>18</v>
      </c>
      <c r="L25" s="5">
        <v>46254</v>
      </c>
      <c r="M25" s="2" t="s">
        <v>67</v>
      </c>
    </row>
    <row r="26" spans="1:13" ht="15" customHeight="1" x14ac:dyDescent="0.25">
      <c r="A26" s="2" t="s">
        <v>60</v>
      </c>
      <c r="B26" s="2" t="s">
        <v>68</v>
      </c>
      <c r="C26" s="2" t="s">
        <v>26</v>
      </c>
      <c r="D26" s="2">
        <v>5</v>
      </c>
      <c r="E26" s="3">
        <v>7737</v>
      </c>
      <c r="F26" s="3">
        <v>9807</v>
      </c>
      <c r="G26" s="3">
        <v>17056</v>
      </c>
      <c r="H26" s="4">
        <f t="shared" si="0"/>
        <v>-0.21107372285102477</v>
      </c>
      <c r="I26" s="2" t="s">
        <v>16</v>
      </c>
      <c r="J26" s="2" t="s">
        <v>17</v>
      </c>
      <c r="K26" s="2" t="s">
        <v>18</v>
      </c>
      <c r="L26" s="5">
        <v>46254</v>
      </c>
      <c r="M26" s="2" t="s">
        <v>69</v>
      </c>
    </row>
    <row r="27" spans="1:13" ht="15" customHeight="1" x14ac:dyDescent="0.25">
      <c r="A27" s="2" t="s">
        <v>70</v>
      </c>
      <c r="B27" s="2" t="s">
        <v>71</v>
      </c>
      <c r="C27" s="2" t="s">
        <v>21</v>
      </c>
      <c r="D27" s="2">
        <v>1</v>
      </c>
      <c r="E27" s="3">
        <v>34946</v>
      </c>
      <c r="F27" s="3">
        <v>30105</v>
      </c>
      <c r="G27" s="3">
        <v>58970</v>
      </c>
      <c r="H27" s="4">
        <f t="shared" si="0"/>
        <v>0.16080385318053469</v>
      </c>
      <c r="I27" s="2" t="s">
        <v>16</v>
      </c>
      <c r="J27" s="2" t="s">
        <v>17</v>
      </c>
      <c r="K27" s="2" t="s">
        <v>18</v>
      </c>
      <c r="L27" s="5">
        <v>46254</v>
      </c>
      <c r="M27" s="2" t="s">
        <v>72</v>
      </c>
    </row>
    <row r="28" spans="1:13" ht="15" customHeight="1" x14ac:dyDescent="0.25">
      <c r="A28" s="2" t="s">
        <v>70</v>
      </c>
      <c r="B28" s="2" t="s">
        <v>73</v>
      </c>
      <c r="C28" s="2" t="s">
        <v>26</v>
      </c>
      <c r="D28" s="2">
        <v>2</v>
      </c>
      <c r="E28" s="3">
        <v>8642</v>
      </c>
      <c r="F28" s="3">
        <v>11616</v>
      </c>
      <c r="G28" s="3">
        <v>19349</v>
      </c>
      <c r="H28" s="4">
        <f t="shared" si="0"/>
        <v>-0.25602617079889811</v>
      </c>
      <c r="I28" s="2" t="s">
        <v>16</v>
      </c>
      <c r="J28" s="2" t="s">
        <v>17</v>
      </c>
      <c r="K28" s="2" t="s">
        <v>18</v>
      </c>
      <c r="L28" s="5">
        <v>46254</v>
      </c>
      <c r="M28" s="2" t="s">
        <v>74</v>
      </c>
    </row>
    <row r="29" spans="1:13" ht="15" customHeight="1" x14ac:dyDescent="0.25">
      <c r="A29" s="2" t="s">
        <v>70</v>
      </c>
      <c r="B29" s="2" t="s">
        <v>75</v>
      </c>
      <c r="C29" s="2" t="s">
        <v>26</v>
      </c>
      <c r="D29" s="2">
        <v>3</v>
      </c>
      <c r="E29" s="3">
        <v>8211</v>
      </c>
      <c r="F29" s="3">
        <v>10450</v>
      </c>
      <c r="G29" s="3">
        <v>18448</v>
      </c>
      <c r="H29" s="4">
        <f t="shared" si="0"/>
        <v>-0.21425837320574159</v>
      </c>
      <c r="I29" s="2" t="s">
        <v>16</v>
      </c>
      <c r="J29" s="2" t="s">
        <v>17</v>
      </c>
      <c r="K29" s="2" t="s">
        <v>18</v>
      </c>
      <c r="L29" s="5">
        <v>46254</v>
      </c>
      <c r="M29" s="2" t="s">
        <v>74</v>
      </c>
    </row>
    <row r="30" spans="1:13" ht="15" customHeight="1" x14ac:dyDescent="0.25">
      <c r="A30" s="2" t="s">
        <v>70</v>
      </c>
      <c r="B30" s="2" t="s">
        <v>76</v>
      </c>
      <c r="C30" s="2" t="s">
        <v>26</v>
      </c>
      <c r="D30" s="2">
        <v>4</v>
      </c>
      <c r="E30" s="3">
        <v>7009</v>
      </c>
      <c r="F30" s="3"/>
      <c r="G30" s="3">
        <v>2194</v>
      </c>
      <c r="H30" s="4" t="str">
        <f t="shared" si="0"/>
        <v/>
      </c>
      <c r="I30" s="2" t="s">
        <v>16</v>
      </c>
      <c r="J30" s="2" t="s">
        <v>17</v>
      </c>
      <c r="K30" s="2" t="s">
        <v>18</v>
      </c>
      <c r="L30" s="5">
        <v>46254</v>
      </c>
      <c r="M30" s="2" t="s">
        <v>77</v>
      </c>
    </row>
    <row r="31" spans="1:13" ht="15" customHeight="1" x14ac:dyDescent="0.25">
      <c r="A31" s="2" t="s">
        <v>70</v>
      </c>
      <c r="B31" s="2" t="s">
        <v>78</v>
      </c>
      <c r="C31" s="2" t="s">
        <v>58</v>
      </c>
      <c r="D31" s="2">
        <v>5</v>
      </c>
      <c r="E31" s="3">
        <v>6742</v>
      </c>
      <c r="F31" s="3">
        <v>9164</v>
      </c>
      <c r="G31" s="3">
        <v>15771</v>
      </c>
      <c r="H31" s="4">
        <f t="shared" si="0"/>
        <v>-0.26429506765604538</v>
      </c>
      <c r="I31" s="2" t="s">
        <v>16</v>
      </c>
      <c r="J31" s="2" t="s">
        <v>17</v>
      </c>
      <c r="K31" s="2" t="s">
        <v>18</v>
      </c>
      <c r="L31" s="5">
        <v>46254</v>
      </c>
      <c r="M31" s="2" t="s">
        <v>79</v>
      </c>
    </row>
    <row r="32" spans="1:13" ht="15" customHeight="1" x14ac:dyDescent="0.25">
      <c r="A32" s="2" t="s">
        <v>80</v>
      </c>
      <c r="B32" s="2" t="s">
        <v>81</v>
      </c>
      <c r="C32" s="2" t="s">
        <v>26</v>
      </c>
      <c r="D32" s="2">
        <v>1</v>
      </c>
      <c r="E32" s="3">
        <v>31886</v>
      </c>
      <c r="F32" s="3">
        <v>32466</v>
      </c>
      <c r="G32" s="3">
        <v>61255</v>
      </c>
      <c r="H32" s="4">
        <f t="shared" si="0"/>
        <v>-1.7864843220600002E-2</v>
      </c>
      <c r="I32" s="2" t="s">
        <v>16</v>
      </c>
      <c r="J32" s="2" t="s">
        <v>17</v>
      </c>
      <c r="K32" s="2" t="s">
        <v>18</v>
      </c>
      <c r="L32" s="5">
        <v>46254</v>
      </c>
      <c r="M32" s="2" t="s">
        <v>82</v>
      </c>
    </row>
    <row r="33" spans="1:13" ht="15" customHeight="1" x14ac:dyDescent="0.25">
      <c r="A33" s="2" t="s">
        <v>80</v>
      </c>
      <c r="B33" s="2" t="s">
        <v>83</v>
      </c>
      <c r="C33" s="2" t="s">
        <v>26</v>
      </c>
      <c r="D33" s="2">
        <v>2</v>
      </c>
      <c r="E33" s="3">
        <v>23989</v>
      </c>
      <c r="F33" s="3">
        <v>24377</v>
      </c>
      <c r="G33" s="3">
        <v>44793</v>
      </c>
      <c r="H33" s="4">
        <f t="shared" si="0"/>
        <v>-1.5916642737006215E-2</v>
      </c>
      <c r="I33" s="2" t="s">
        <v>16</v>
      </c>
      <c r="J33" s="2" t="s">
        <v>17</v>
      </c>
      <c r="K33" s="2" t="s">
        <v>18</v>
      </c>
      <c r="L33" s="5">
        <v>46254</v>
      </c>
      <c r="M33" s="2" t="s">
        <v>82</v>
      </c>
    </row>
    <row r="34" spans="1:13" ht="15" customHeight="1" x14ac:dyDescent="0.25">
      <c r="A34" s="2" t="s">
        <v>80</v>
      </c>
      <c r="B34" s="2" t="s">
        <v>84</v>
      </c>
      <c r="C34" s="2" t="s">
        <v>26</v>
      </c>
      <c r="D34" s="2">
        <v>3</v>
      </c>
      <c r="E34" s="3">
        <v>9499</v>
      </c>
      <c r="F34" s="3">
        <v>8530</v>
      </c>
      <c r="G34" s="3">
        <v>17786</v>
      </c>
      <c r="H34" s="4">
        <f t="shared" ref="H34:H65" si="1">IF(OR(E34="",F34=""),"",E34/F34-1)</f>
        <v>0.11359906213364601</v>
      </c>
      <c r="I34" s="2" t="s">
        <v>16</v>
      </c>
      <c r="J34" s="2" t="s">
        <v>17</v>
      </c>
      <c r="K34" s="2" t="s">
        <v>18</v>
      </c>
      <c r="L34" s="5">
        <v>46254</v>
      </c>
      <c r="M34" s="2" t="s">
        <v>82</v>
      </c>
    </row>
    <row r="35" spans="1:13" ht="15" customHeight="1" x14ac:dyDescent="0.25">
      <c r="A35" s="2" t="s">
        <v>85</v>
      </c>
      <c r="B35" s="2" t="s">
        <v>86</v>
      </c>
      <c r="C35" s="2" t="s">
        <v>21</v>
      </c>
      <c r="D35" s="2">
        <v>1</v>
      </c>
      <c r="E35" s="3">
        <v>42930</v>
      </c>
      <c r="F35" s="3">
        <v>16221</v>
      </c>
      <c r="G35" s="3">
        <v>32459</v>
      </c>
      <c r="H35" s="4">
        <f t="shared" si="1"/>
        <v>1.6465692620676902</v>
      </c>
      <c r="I35" s="2" t="s">
        <v>16</v>
      </c>
      <c r="J35" s="2" t="s">
        <v>17</v>
      </c>
      <c r="K35" s="2" t="s">
        <v>18</v>
      </c>
      <c r="L35" s="5">
        <v>46254</v>
      </c>
      <c r="M35" s="2" t="s">
        <v>87</v>
      </c>
    </row>
    <row r="36" spans="1:13" ht="15" customHeight="1" x14ac:dyDescent="0.25">
      <c r="A36" s="2" t="s">
        <v>85</v>
      </c>
      <c r="B36" s="2" t="s">
        <v>88</v>
      </c>
      <c r="C36" s="2" t="s">
        <v>26</v>
      </c>
      <c r="D36" s="2">
        <v>2</v>
      </c>
      <c r="E36" s="3">
        <v>38352</v>
      </c>
      <c r="F36" s="3">
        <v>20647</v>
      </c>
      <c r="G36" s="3">
        <v>42181</v>
      </c>
      <c r="H36" s="4">
        <f t="shared" si="1"/>
        <v>0.8575095655543179</v>
      </c>
      <c r="I36" s="2" t="s">
        <v>16</v>
      </c>
      <c r="J36" s="2" t="s">
        <v>17</v>
      </c>
      <c r="K36" s="2" t="s">
        <v>18</v>
      </c>
      <c r="L36" s="5">
        <v>46254</v>
      </c>
      <c r="M36" s="2" t="s">
        <v>89</v>
      </c>
    </row>
    <row r="37" spans="1:13" ht="15" customHeight="1" x14ac:dyDescent="0.25">
      <c r="A37" s="2" t="s">
        <v>85</v>
      </c>
      <c r="B37" s="2" t="s">
        <v>90</v>
      </c>
      <c r="C37" s="2" t="s">
        <v>21</v>
      </c>
      <c r="D37" s="2">
        <v>3</v>
      </c>
      <c r="E37" s="3">
        <v>24533</v>
      </c>
      <c r="F37" s="3">
        <v>7586</v>
      </c>
      <c r="G37" s="3">
        <v>15216</v>
      </c>
      <c r="H37" s="4">
        <f t="shared" si="1"/>
        <v>2.2339836540996574</v>
      </c>
      <c r="I37" s="2" t="s">
        <v>16</v>
      </c>
      <c r="J37" s="2" t="s">
        <v>17</v>
      </c>
      <c r="K37" s="2" t="s">
        <v>18</v>
      </c>
      <c r="L37" s="5">
        <v>46254</v>
      </c>
      <c r="M37" s="2" t="s">
        <v>87</v>
      </c>
    </row>
    <row r="38" spans="1:13" ht="15" customHeight="1" x14ac:dyDescent="0.25">
      <c r="A38" s="2" t="s">
        <v>85</v>
      </c>
      <c r="B38" s="2" t="s">
        <v>91</v>
      </c>
      <c r="C38" s="2" t="s">
        <v>43</v>
      </c>
      <c r="D38" s="2">
        <v>4</v>
      </c>
      <c r="E38" s="3">
        <v>9801</v>
      </c>
      <c r="F38" s="3">
        <v>7217</v>
      </c>
      <c r="G38" s="3">
        <v>12402</v>
      </c>
      <c r="H38" s="4">
        <f t="shared" si="1"/>
        <v>0.35804350838298471</v>
      </c>
      <c r="I38" s="2" t="s">
        <v>16</v>
      </c>
      <c r="J38" s="2" t="s">
        <v>17</v>
      </c>
      <c r="K38" s="2" t="s">
        <v>18</v>
      </c>
      <c r="L38" s="5">
        <v>46254</v>
      </c>
      <c r="M38" s="2" t="s">
        <v>87</v>
      </c>
    </row>
    <row r="39" spans="1:13" ht="15" customHeight="1" x14ac:dyDescent="0.25">
      <c r="A39" s="2" t="s">
        <v>85</v>
      </c>
      <c r="B39" s="2" t="s">
        <v>92</v>
      </c>
      <c r="C39" s="2" t="s">
        <v>26</v>
      </c>
      <c r="D39" s="2">
        <v>5</v>
      </c>
      <c r="E39" s="3">
        <v>4076</v>
      </c>
      <c r="F39" s="3">
        <v>3230</v>
      </c>
      <c r="G39" s="3">
        <v>6019</v>
      </c>
      <c r="H39" s="4">
        <f t="shared" si="1"/>
        <v>0.26191950464396285</v>
      </c>
      <c r="I39" s="2" t="s">
        <v>16</v>
      </c>
      <c r="J39" s="2" t="s">
        <v>17</v>
      </c>
      <c r="K39" s="2" t="s">
        <v>18</v>
      </c>
      <c r="L39" s="5">
        <v>46254</v>
      </c>
      <c r="M39" s="2" t="s">
        <v>87</v>
      </c>
    </row>
    <row r="40" spans="1:13" ht="15" customHeight="1" x14ac:dyDescent="0.25">
      <c r="A40" s="2" t="s">
        <v>93</v>
      </c>
      <c r="B40" s="2" t="s">
        <v>94</v>
      </c>
      <c r="C40" s="2" t="s">
        <v>26</v>
      </c>
      <c r="D40" s="2">
        <v>1</v>
      </c>
      <c r="E40" s="3">
        <v>26366</v>
      </c>
      <c r="F40" s="3">
        <v>36086</v>
      </c>
      <c r="G40" s="3">
        <v>61227</v>
      </c>
      <c r="H40" s="4">
        <f t="shared" si="1"/>
        <v>-0.26935653716122598</v>
      </c>
      <c r="I40" s="2" t="s">
        <v>16</v>
      </c>
      <c r="J40" s="2" t="s">
        <v>17</v>
      </c>
      <c r="K40" s="2" t="s">
        <v>18</v>
      </c>
      <c r="L40" s="5">
        <v>46254</v>
      </c>
      <c r="M40" s="2" t="s">
        <v>95</v>
      </c>
    </row>
    <row r="41" spans="1:13" ht="15" customHeight="1" x14ac:dyDescent="0.25">
      <c r="A41" s="2" t="s">
        <v>93</v>
      </c>
      <c r="B41" s="2" t="s">
        <v>96</v>
      </c>
      <c r="C41" s="2" t="s">
        <v>26</v>
      </c>
      <c r="D41" s="2">
        <v>2</v>
      </c>
      <c r="E41" s="3">
        <v>20706</v>
      </c>
      <c r="F41" s="3"/>
      <c r="G41" s="3">
        <v>4588</v>
      </c>
      <c r="H41" s="4" t="str">
        <f t="shared" si="1"/>
        <v/>
      </c>
      <c r="I41" s="2" t="s">
        <v>16</v>
      </c>
      <c r="J41" s="2" t="s">
        <v>17</v>
      </c>
      <c r="K41" s="2" t="s">
        <v>18</v>
      </c>
      <c r="L41" s="5">
        <v>46254</v>
      </c>
      <c r="M41" s="2" t="s">
        <v>97</v>
      </c>
    </row>
    <row r="42" spans="1:13" ht="15" customHeight="1" x14ac:dyDescent="0.25">
      <c r="A42" s="2" t="s">
        <v>93</v>
      </c>
      <c r="B42" s="2" t="s">
        <v>98</v>
      </c>
      <c r="C42" s="2" t="s">
        <v>43</v>
      </c>
      <c r="D42" s="2">
        <v>3</v>
      </c>
      <c r="E42" s="3">
        <v>8902</v>
      </c>
      <c r="F42" s="3">
        <v>9927</v>
      </c>
      <c r="G42" s="3">
        <v>17782</v>
      </c>
      <c r="H42" s="4">
        <f t="shared" si="1"/>
        <v>-0.10325375239246504</v>
      </c>
      <c r="I42" s="2" t="s">
        <v>16</v>
      </c>
      <c r="J42" s="2" t="s">
        <v>17</v>
      </c>
      <c r="K42" s="2" t="s">
        <v>18</v>
      </c>
      <c r="L42" s="5">
        <v>46254</v>
      </c>
      <c r="M42" s="2" t="s">
        <v>99</v>
      </c>
    </row>
    <row r="43" spans="1:13" ht="15" customHeight="1" x14ac:dyDescent="0.25">
      <c r="A43" s="2" t="s">
        <v>93</v>
      </c>
      <c r="B43" s="2" t="s">
        <v>100</v>
      </c>
      <c r="C43" s="2" t="s">
        <v>21</v>
      </c>
      <c r="D43" s="2">
        <v>4</v>
      </c>
      <c r="E43" s="3">
        <v>7079</v>
      </c>
      <c r="F43" s="3">
        <v>8826</v>
      </c>
      <c r="G43" s="3">
        <v>15761</v>
      </c>
      <c r="H43" s="4">
        <f t="shared" si="1"/>
        <v>-0.19793791071833222</v>
      </c>
      <c r="I43" s="2" t="s">
        <v>16</v>
      </c>
      <c r="J43" s="2" t="s">
        <v>17</v>
      </c>
      <c r="K43" s="2" t="s">
        <v>18</v>
      </c>
      <c r="L43" s="5">
        <v>46254</v>
      </c>
      <c r="M43" s="2" t="s">
        <v>101</v>
      </c>
    </row>
    <row r="44" spans="1:13" ht="15" customHeight="1" x14ac:dyDescent="0.25">
      <c r="A44" s="2" t="s">
        <v>93</v>
      </c>
      <c r="B44" s="2" t="s">
        <v>102</v>
      </c>
      <c r="C44" s="2" t="s">
        <v>43</v>
      </c>
      <c r="D44" s="2">
        <v>5</v>
      </c>
      <c r="E44" s="3">
        <v>34</v>
      </c>
      <c r="F44" s="3">
        <v>999</v>
      </c>
      <c r="G44" s="3">
        <v>1124</v>
      </c>
      <c r="H44" s="4">
        <f t="shared" si="1"/>
        <v>-0.96596596596596596</v>
      </c>
      <c r="I44" s="2" t="s">
        <v>16</v>
      </c>
      <c r="J44" s="2" t="s">
        <v>17</v>
      </c>
      <c r="K44" s="2" t="s">
        <v>18</v>
      </c>
      <c r="L44" s="5">
        <v>46254</v>
      </c>
      <c r="M44" s="2" t="s">
        <v>103</v>
      </c>
    </row>
    <row r="45" spans="1:13" ht="15" customHeight="1" x14ac:dyDescent="0.25">
      <c r="A45" s="2" t="s">
        <v>104</v>
      </c>
      <c r="B45" s="2" t="s">
        <v>105</v>
      </c>
      <c r="C45" s="2" t="s">
        <v>26</v>
      </c>
      <c r="D45" s="2">
        <v>1</v>
      </c>
      <c r="E45" s="3">
        <v>19797</v>
      </c>
      <c r="F45" s="3">
        <v>29530</v>
      </c>
      <c r="G45" s="3">
        <v>58388</v>
      </c>
      <c r="H45" s="4">
        <f t="shared" si="1"/>
        <v>-0.32959701997968172</v>
      </c>
      <c r="I45" s="2" t="s">
        <v>16</v>
      </c>
      <c r="J45" s="2" t="s">
        <v>17</v>
      </c>
      <c r="K45" s="2" t="s">
        <v>18</v>
      </c>
      <c r="L45" s="5">
        <v>46254</v>
      </c>
      <c r="M45" s="2" t="s">
        <v>106</v>
      </c>
    </row>
    <row r="46" spans="1:13" ht="15" customHeight="1" x14ac:dyDescent="0.25">
      <c r="A46" s="2" t="s">
        <v>104</v>
      </c>
      <c r="B46" s="2" t="s">
        <v>107</v>
      </c>
      <c r="C46" s="2" t="s">
        <v>26</v>
      </c>
      <c r="D46" s="2">
        <v>2</v>
      </c>
      <c r="E46" s="3">
        <v>18098</v>
      </c>
      <c r="F46" s="3"/>
      <c r="G46" s="3"/>
      <c r="H46" s="4" t="str">
        <f t="shared" si="1"/>
        <v/>
      </c>
      <c r="I46" s="2" t="s">
        <v>16</v>
      </c>
      <c r="J46" s="2" t="s">
        <v>17</v>
      </c>
      <c r="K46" s="2" t="s">
        <v>18</v>
      </c>
      <c r="L46" s="5">
        <v>46254</v>
      </c>
      <c r="M46" s="2" t="s">
        <v>108</v>
      </c>
    </row>
    <row r="47" spans="1:13" ht="15" customHeight="1" x14ac:dyDescent="0.25">
      <c r="A47" s="2" t="s">
        <v>104</v>
      </c>
      <c r="B47" s="2" t="s">
        <v>109</v>
      </c>
      <c r="C47" s="2" t="s">
        <v>43</v>
      </c>
      <c r="D47" s="2">
        <v>3</v>
      </c>
      <c r="E47" s="3">
        <v>4241</v>
      </c>
      <c r="F47" s="3">
        <v>6297</v>
      </c>
      <c r="G47" s="3">
        <v>9261</v>
      </c>
      <c r="H47" s="4">
        <f t="shared" si="1"/>
        <v>-0.32650468477052563</v>
      </c>
      <c r="I47" s="2" t="s">
        <v>16</v>
      </c>
      <c r="J47" s="2" t="s">
        <v>17</v>
      </c>
      <c r="K47" s="2" t="s">
        <v>18</v>
      </c>
      <c r="L47" s="5">
        <v>46254</v>
      </c>
      <c r="M47" s="2" t="s">
        <v>110</v>
      </c>
    </row>
    <row r="48" spans="1:13" ht="15" customHeight="1" x14ac:dyDescent="0.25">
      <c r="A48" s="2" t="s">
        <v>104</v>
      </c>
      <c r="B48" s="2" t="s">
        <v>111</v>
      </c>
      <c r="C48" s="2" t="s">
        <v>15</v>
      </c>
      <c r="D48" s="2">
        <v>4</v>
      </c>
      <c r="E48" s="3">
        <v>1002</v>
      </c>
      <c r="F48" s="3">
        <v>4179</v>
      </c>
      <c r="G48" s="3">
        <v>5091</v>
      </c>
      <c r="H48" s="4">
        <f t="shared" si="1"/>
        <v>-0.76022972002871503</v>
      </c>
      <c r="I48" s="2" t="s">
        <v>16</v>
      </c>
      <c r="J48" s="2" t="s">
        <v>17</v>
      </c>
      <c r="K48" s="2" t="s">
        <v>18</v>
      </c>
      <c r="L48" s="5">
        <v>46254</v>
      </c>
      <c r="M48" s="2" t="s">
        <v>106</v>
      </c>
    </row>
    <row r="49" spans="1:13" ht="15" customHeight="1" x14ac:dyDescent="0.25">
      <c r="A49" s="2" t="s">
        <v>104</v>
      </c>
      <c r="B49" s="2" t="s">
        <v>112</v>
      </c>
      <c r="C49" s="2" t="s">
        <v>43</v>
      </c>
      <c r="D49" s="2">
        <v>5</v>
      </c>
      <c r="E49" s="3">
        <v>355</v>
      </c>
      <c r="F49" s="3">
        <v>2916</v>
      </c>
      <c r="G49" s="3">
        <v>4927</v>
      </c>
      <c r="H49" s="4">
        <f t="shared" si="1"/>
        <v>-0.87825788751714673</v>
      </c>
      <c r="I49" s="2" t="s">
        <v>16</v>
      </c>
      <c r="J49" s="2" t="s">
        <v>17</v>
      </c>
      <c r="K49" s="2" t="s">
        <v>18</v>
      </c>
      <c r="L49" s="5">
        <v>46254</v>
      </c>
      <c r="M49" s="2" t="s">
        <v>106</v>
      </c>
    </row>
    <row r="50" spans="1:13" ht="15" customHeight="1" x14ac:dyDescent="0.25">
      <c r="A50" s="2" t="s">
        <v>113</v>
      </c>
      <c r="B50" s="2" t="s">
        <v>114</v>
      </c>
      <c r="C50" s="2" t="s">
        <v>26</v>
      </c>
      <c r="D50" s="2">
        <v>1</v>
      </c>
      <c r="E50" s="3">
        <v>19634</v>
      </c>
      <c r="F50" s="3">
        <v>7046</v>
      </c>
      <c r="G50" s="3">
        <v>13670</v>
      </c>
      <c r="H50" s="4">
        <f t="shared" si="1"/>
        <v>1.7865455577632701</v>
      </c>
      <c r="I50" s="2" t="s">
        <v>16</v>
      </c>
      <c r="J50" s="2" t="s">
        <v>17</v>
      </c>
      <c r="K50" s="2" t="s">
        <v>18</v>
      </c>
      <c r="L50" s="5">
        <v>46254</v>
      </c>
      <c r="M50" s="2" t="s">
        <v>115</v>
      </c>
    </row>
    <row r="51" spans="1:13" ht="15" customHeight="1" x14ac:dyDescent="0.25">
      <c r="A51" s="2" t="s">
        <v>113</v>
      </c>
      <c r="B51" s="2" t="s">
        <v>116</v>
      </c>
      <c r="C51" s="2" t="s">
        <v>26</v>
      </c>
      <c r="D51" s="2">
        <v>2</v>
      </c>
      <c r="E51" s="3">
        <v>16640</v>
      </c>
      <c r="F51" s="3">
        <v>17904</v>
      </c>
      <c r="G51" s="3">
        <v>38438</v>
      </c>
      <c r="H51" s="4">
        <f t="shared" si="1"/>
        <v>-7.0598748882931162E-2</v>
      </c>
      <c r="I51" s="2" t="s">
        <v>16</v>
      </c>
      <c r="J51" s="2" t="s">
        <v>17</v>
      </c>
      <c r="K51" s="2" t="s">
        <v>18</v>
      </c>
      <c r="L51" s="5">
        <v>46254</v>
      </c>
      <c r="M51" s="2" t="s">
        <v>115</v>
      </c>
    </row>
    <row r="52" spans="1:13" ht="15" customHeight="1" x14ac:dyDescent="0.25">
      <c r="A52" s="2" t="s">
        <v>113</v>
      </c>
      <c r="B52" s="2" t="s">
        <v>117</v>
      </c>
      <c r="C52" s="2" t="s">
        <v>26</v>
      </c>
      <c r="D52" s="2">
        <v>3</v>
      </c>
      <c r="E52" s="3">
        <v>8014</v>
      </c>
      <c r="F52" s="3">
        <v>8907</v>
      </c>
      <c r="G52" s="3">
        <v>17883</v>
      </c>
      <c r="H52" s="4">
        <f t="shared" si="1"/>
        <v>-0.10025822386886718</v>
      </c>
      <c r="I52" s="2" t="s">
        <v>16</v>
      </c>
      <c r="J52" s="2" t="s">
        <v>17</v>
      </c>
      <c r="K52" s="2" t="s">
        <v>18</v>
      </c>
      <c r="L52" s="5">
        <v>46254</v>
      </c>
      <c r="M52" s="2" t="s">
        <v>115</v>
      </c>
    </row>
    <row r="53" spans="1:13" ht="15" customHeight="1" x14ac:dyDescent="0.25">
      <c r="A53" s="2" t="s">
        <v>113</v>
      </c>
      <c r="B53" s="2" t="s">
        <v>118</v>
      </c>
      <c r="C53" s="2" t="s">
        <v>43</v>
      </c>
      <c r="D53" s="2">
        <v>4</v>
      </c>
      <c r="E53" s="3">
        <v>72</v>
      </c>
      <c r="F53" s="3">
        <v>1116</v>
      </c>
      <c r="G53" s="3">
        <v>1436</v>
      </c>
      <c r="H53" s="4">
        <f t="shared" si="1"/>
        <v>-0.93548387096774199</v>
      </c>
      <c r="I53" s="2" t="s">
        <v>16</v>
      </c>
      <c r="J53" s="2" t="s">
        <v>17</v>
      </c>
      <c r="K53" s="2" t="s">
        <v>18</v>
      </c>
      <c r="L53" s="5">
        <v>46254</v>
      </c>
      <c r="M53" s="2" t="s">
        <v>119</v>
      </c>
    </row>
    <row r="54" spans="1:13" ht="15" customHeight="1" x14ac:dyDescent="0.25">
      <c r="A54" s="2" t="s">
        <v>120</v>
      </c>
      <c r="B54" s="2" t="s">
        <v>121</v>
      </c>
      <c r="C54" s="2" t="s">
        <v>15</v>
      </c>
      <c r="D54" s="2">
        <v>1</v>
      </c>
      <c r="E54" s="3">
        <v>20370</v>
      </c>
      <c r="F54" s="3">
        <v>19074</v>
      </c>
      <c r="G54" s="3">
        <v>34047</v>
      </c>
      <c r="H54" s="4">
        <f t="shared" si="1"/>
        <v>6.7945894935514284E-2</v>
      </c>
      <c r="I54" s="2" t="s">
        <v>16</v>
      </c>
      <c r="J54" s="2" t="s">
        <v>17</v>
      </c>
      <c r="K54" s="2" t="s">
        <v>18</v>
      </c>
      <c r="L54" s="5">
        <v>46254</v>
      </c>
      <c r="M54" s="2" t="s">
        <v>122</v>
      </c>
    </row>
    <row r="55" spans="1:13" ht="15" customHeight="1" x14ac:dyDescent="0.25">
      <c r="A55" s="2" t="s">
        <v>120</v>
      </c>
      <c r="B55" s="2" t="s">
        <v>123</v>
      </c>
      <c r="C55" s="2" t="s">
        <v>26</v>
      </c>
      <c r="D55" s="2">
        <v>2</v>
      </c>
      <c r="E55" s="3">
        <v>5666</v>
      </c>
      <c r="F55" s="3">
        <v>3233</v>
      </c>
      <c r="G55" s="3">
        <v>8876</v>
      </c>
      <c r="H55" s="4">
        <f t="shared" si="1"/>
        <v>0.75255180946489331</v>
      </c>
      <c r="I55" s="2" t="s">
        <v>16</v>
      </c>
      <c r="J55" s="2" t="s">
        <v>17</v>
      </c>
      <c r="K55" s="2" t="s">
        <v>18</v>
      </c>
      <c r="L55" s="5">
        <v>46254</v>
      </c>
      <c r="M55" s="2" t="s">
        <v>122</v>
      </c>
    </row>
    <row r="56" spans="1:13" ht="15" customHeight="1" x14ac:dyDescent="0.25">
      <c r="A56" s="2" t="s">
        <v>120</v>
      </c>
      <c r="B56" s="2" t="s">
        <v>124</v>
      </c>
      <c r="C56" s="2" t="s">
        <v>15</v>
      </c>
      <c r="D56" s="2">
        <v>3</v>
      </c>
      <c r="E56" s="3">
        <v>2607</v>
      </c>
      <c r="F56" s="3">
        <v>1587</v>
      </c>
      <c r="G56" s="3">
        <v>4051</v>
      </c>
      <c r="H56" s="4">
        <f t="shared" si="1"/>
        <v>0.64272211720226835</v>
      </c>
      <c r="I56" s="2" t="s">
        <v>16</v>
      </c>
      <c r="J56" s="2" t="s">
        <v>17</v>
      </c>
      <c r="K56" s="2" t="s">
        <v>18</v>
      </c>
      <c r="L56" s="5">
        <v>46254</v>
      </c>
      <c r="M56" s="2" t="s">
        <v>122</v>
      </c>
    </row>
    <row r="57" spans="1:13" ht="15" customHeight="1" x14ac:dyDescent="0.25">
      <c r="A57" s="2" t="s">
        <v>120</v>
      </c>
      <c r="B57" s="2" t="s">
        <v>125</v>
      </c>
      <c r="C57" s="2" t="s">
        <v>58</v>
      </c>
      <c r="D57" s="2">
        <v>4</v>
      </c>
      <c r="E57" s="3">
        <v>1402</v>
      </c>
      <c r="F57" s="3">
        <v>1639</v>
      </c>
      <c r="G57" s="3">
        <v>2646</v>
      </c>
      <c r="H57" s="4">
        <f t="shared" si="1"/>
        <v>-0.1446003660768761</v>
      </c>
      <c r="I57" s="2" t="s">
        <v>16</v>
      </c>
      <c r="J57" s="2" t="s">
        <v>17</v>
      </c>
      <c r="K57" s="2" t="s">
        <v>18</v>
      </c>
      <c r="L57" s="5">
        <v>46254</v>
      </c>
      <c r="M57" s="2" t="s">
        <v>126</v>
      </c>
    </row>
    <row r="58" spans="1:13" ht="15" customHeight="1" x14ac:dyDescent="0.25">
      <c r="A58" s="2" t="s">
        <v>120</v>
      </c>
      <c r="B58" s="2" t="s">
        <v>127</v>
      </c>
      <c r="C58" s="2" t="s">
        <v>15</v>
      </c>
      <c r="D58" s="2">
        <v>5</v>
      </c>
      <c r="E58" s="3">
        <v>702</v>
      </c>
      <c r="F58" s="3">
        <v>678</v>
      </c>
      <c r="G58" s="3">
        <v>1200</v>
      </c>
      <c r="H58" s="4">
        <f t="shared" si="1"/>
        <v>3.539823008849563E-2</v>
      </c>
      <c r="I58" s="2" t="s">
        <v>16</v>
      </c>
      <c r="J58" s="2" t="s">
        <v>17</v>
      </c>
      <c r="K58" s="2" t="s">
        <v>18</v>
      </c>
      <c r="L58" s="5">
        <v>46254</v>
      </c>
      <c r="M58" s="2" t="s">
        <v>128</v>
      </c>
    </row>
    <row r="59" spans="1:13" ht="15" customHeight="1" x14ac:dyDescent="0.25">
      <c r="A59" s="2" t="s">
        <v>129</v>
      </c>
      <c r="B59" s="2" t="s">
        <v>130</v>
      </c>
      <c r="C59" s="2" t="s">
        <v>26</v>
      </c>
      <c r="D59" s="2">
        <v>1</v>
      </c>
      <c r="E59" s="3">
        <v>25809</v>
      </c>
      <c r="F59" s="3">
        <v>16012</v>
      </c>
      <c r="G59" s="3">
        <v>31964</v>
      </c>
      <c r="H59" s="4">
        <f t="shared" si="1"/>
        <v>0.61185360979265546</v>
      </c>
      <c r="I59" s="2" t="s">
        <v>16</v>
      </c>
      <c r="J59" s="2" t="s">
        <v>17</v>
      </c>
      <c r="K59" s="2" t="s">
        <v>18</v>
      </c>
      <c r="L59" s="5">
        <v>46254</v>
      </c>
      <c r="M59" s="2" t="s">
        <v>131</v>
      </c>
    </row>
    <row r="60" spans="1:13" ht="15" customHeight="1" x14ac:dyDescent="0.25">
      <c r="A60" s="2" t="s">
        <v>129</v>
      </c>
      <c r="B60" s="2" t="s">
        <v>132</v>
      </c>
      <c r="C60" s="2" t="s">
        <v>26</v>
      </c>
      <c r="D60" s="2">
        <v>2</v>
      </c>
      <c r="E60" s="3">
        <v>7125</v>
      </c>
      <c r="F60" s="3"/>
      <c r="G60" s="3">
        <v>2205</v>
      </c>
      <c r="H60" s="4" t="str">
        <f t="shared" si="1"/>
        <v/>
      </c>
      <c r="I60" s="2" t="s">
        <v>16</v>
      </c>
      <c r="J60" s="2" t="s">
        <v>17</v>
      </c>
      <c r="K60" s="2" t="s">
        <v>18</v>
      </c>
      <c r="L60" s="5">
        <v>46254</v>
      </c>
      <c r="M60" s="2" t="s">
        <v>133</v>
      </c>
    </row>
    <row r="61" spans="1:13" ht="15" customHeight="1" x14ac:dyDescent="0.25">
      <c r="A61" s="2" t="s">
        <v>129</v>
      </c>
      <c r="B61" s="2" t="s">
        <v>134</v>
      </c>
      <c r="C61" s="2" t="s">
        <v>15</v>
      </c>
      <c r="D61" s="2">
        <v>3</v>
      </c>
      <c r="E61" s="3">
        <v>3921</v>
      </c>
      <c r="F61" s="3"/>
      <c r="G61" s="3">
        <v>1280</v>
      </c>
      <c r="H61" s="4" t="str">
        <f t="shared" si="1"/>
        <v/>
      </c>
      <c r="I61" s="2" t="s">
        <v>16</v>
      </c>
      <c r="J61" s="2" t="s">
        <v>17</v>
      </c>
      <c r="K61" s="2" t="s">
        <v>18</v>
      </c>
      <c r="L61" s="5">
        <v>46254</v>
      </c>
      <c r="M61" s="2" t="s">
        <v>135</v>
      </c>
    </row>
    <row r="62" spans="1:13" ht="15" customHeight="1" x14ac:dyDescent="0.25">
      <c r="A62" s="2" t="s">
        <v>129</v>
      </c>
      <c r="B62" s="2" t="s">
        <v>136</v>
      </c>
      <c r="C62" s="2" t="s">
        <v>26</v>
      </c>
      <c r="D62" s="2">
        <v>4</v>
      </c>
      <c r="E62" s="3">
        <v>3209</v>
      </c>
      <c r="F62" s="3">
        <v>1613</v>
      </c>
      <c r="G62" s="3">
        <v>3514</v>
      </c>
      <c r="H62" s="4">
        <f t="shared" si="1"/>
        <v>0.98946063236205828</v>
      </c>
      <c r="I62" s="2" t="s">
        <v>16</v>
      </c>
      <c r="J62" s="2" t="s">
        <v>17</v>
      </c>
      <c r="K62" s="2" t="s">
        <v>18</v>
      </c>
      <c r="L62" s="5">
        <v>46254</v>
      </c>
      <c r="M62" s="2" t="s">
        <v>131</v>
      </c>
    </row>
    <row r="63" spans="1:13" ht="15" customHeight="1" x14ac:dyDescent="0.25">
      <c r="A63" s="2" t="s">
        <v>129</v>
      </c>
      <c r="B63" s="2" t="s">
        <v>137</v>
      </c>
      <c r="C63" s="2" t="s">
        <v>21</v>
      </c>
      <c r="D63" s="2">
        <v>5</v>
      </c>
      <c r="E63" s="3">
        <v>2146</v>
      </c>
      <c r="F63" s="3">
        <v>1560</v>
      </c>
      <c r="G63" s="3">
        <v>3237</v>
      </c>
      <c r="H63" s="4">
        <f t="shared" si="1"/>
        <v>0.37564102564102564</v>
      </c>
      <c r="I63" s="2" t="s">
        <v>16</v>
      </c>
      <c r="J63" s="2" t="s">
        <v>17</v>
      </c>
      <c r="K63" s="2" t="s">
        <v>18</v>
      </c>
      <c r="L63" s="5">
        <v>46254</v>
      </c>
      <c r="M63" s="2" t="s">
        <v>138</v>
      </c>
    </row>
    <row r="64" spans="1:13" ht="15" customHeight="1" x14ac:dyDescent="0.25">
      <c r="A64" s="2" t="s">
        <v>139</v>
      </c>
      <c r="B64" s="2" t="s">
        <v>140</v>
      </c>
      <c r="C64" s="2" t="s">
        <v>15</v>
      </c>
      <c r="D64" s="2">
        <v>1</v>
      </c>
      <c r="E64" s="3">
        <v>14349</v>
      </c>
      <c r="F64" s="3">
        <v>13403</v>
      </c>
      <c r="G64" s="3">
        <v>26135</v>
      </c>
      <c r="H64" s="4">
        <f t="shared" si="1"/>
        <v>7.058121316123267E-2</v>
      </c>
      <c r="I64" s="2" t="s">
        <v>16</v>
      </c>
      <c r="J64" s="2" t="s">
        <v>17</v>
      </c>
      <c r="K64" s="2" t="s">
        <v>18</v>
      </c>
      <c r="L64" s="5">
        <v>46254</v>
      </c>
      <c r="M64" s="2" t="s">
        <v>141</v>
      </c>
    </row>
    <row r="65" spans="1:13" ht="15" customHeight="1" x14ac:dyDescent="0.25">
      <c r="A65" s="2" t="s">
        <v>139</v>
      </c>
      <c r="B65" s="2" t="s">
        <v>142</v>
      </c>
      <c r="C65" s="2" t="s">
        <v>15</v>
      </c>
      <c r="D65" s="2">
        <v>2</v>
      </c>
      <c r="E65" s="3">
        <v>2566</v>
      </c>
      <c r="F65" s="3"/>
      <c r="G65" s="3"/>
      <c r="H65" s="4" t="str">
        <f t="shared" si="1"/>
        <v/>
      </c>
      <c r="I65" s="2" t="s">
        <v>16</v>
      </c>
      <c r="J65" s="2" t="s">
        <v>17</v>
      </c>
      <c r="K65" s="2" t="s">
        <v>18</v>
      </c>
      <c r="L65" s="5">
        <v>46254</v>
      </c>
      <c r="M65" s="2" t="s">
        <v>143</v>
      </c>
    </row>
    <row r="66" spans="1:13" ht="15" customHeight="1" x14ac:dyDescent="0.25">
      <c r="A66" s="2" t="s">
        <v>139</v>
      </c>
      <c r="B66" s="2" t="s">
        <v>144</v>
      </c>
      <c r="C66" s="2" t="s">
        <v>15</v>
      </c>
      <c r="D66" s="2">
        <v>3</v>
      </c>
      <c r="E66" s="3">
        <v>607</v>
      </c>
      <c r="F66" s="3">
        <v>1000</v>
      </c>
      <c r="G66" s="3">
        <v>1406</v>
      </c>
      <c r="H66" s="4">
        <f t="shared" ref="H66:H81" si="2">IF(OR(E66="",F66=""),"",E66/F66-1)</f>
        <v>-0.39300000000000002</v>
      </c>
      <c r="I66" s="2" t="s">
        <v>16</v>
      </c>
      <c r="J66" s="2" t="s">
        <v>17</v>
      </c>
      <c r="K66" s="2" t="s">
        <v>18</v>
      </c>
      <c r="L66" s="5">
        <v>46254</v>
      </c>
      <c r="M66" s="2" t="s">
        <v>145</v>
      </c>
    </row>
    <row r="67" spans="1:13" ht="15" customHeight="1" x14ac:dyDescent="0.25">
      <c r="A67" s="2" t="s">
        <v>139</v>
      </c>
      <c r="B67" s="2" t="s">
        <v>146</v>
      </c>
      <c r="C67" s="2" t="s">
        <v>15</v>
      </c>
      <c r="D67" s="2">
        <v>4</v>
      </c>
      <c r="E67" s="3">
        <v>462</v>
      </c>
      <c r="F67" s="3">
        <v>492</v>
      </c>
      <c r="G67" s="3">
        <v>703</v>
      </c>
      <c r="H67" s="4">
        <f t="shared" si="2"/>
        <v>-6.0975609756097615E-2</v>
      </c>
      <c r="I67" s="2" t="s">
        <v>16</v>
      </c>
      <c r="J67" s="2" t="s">
        <v>17</v>
      </c>
      <c r="K67" s="2" t="s">
        <v>18</v>
      </c>
      <c r="L67" s="5">
        <v>46254</v>
      </c>
      <c r="M67" s="2" t="s">
        <v>145</v>
      </c>
    </row>
    <row r="68" spans="1:13" ht="15" customHeight="1" x14ac:dyDescent="0.25">
      <c r="A68" s="2" t="s">
        <v>139</v>
      </c>
      <c r="B68" s="2" t="s">
        <v>147</v>
      </c>
      <c r="C68" s="2" t="s">
        <v>15</v>
      </c>
      <c r="D68" s="2">
        <v>5</v>
      </c>
      <c r="E68" s="3">
        <v>135</v>
      </c>
      <c r="F68" s="3">
        <v>951</v>
      </c>
      <c r="G68" s="3">
        <v>1181</v>
      </c>
      <c r="H68" s="4">
        <f t="shared" si="2"/>
        <v>-0.85804416403785488</v>
      </c>
      <c r="I68" s="2" t="s">
        <v>16</v>
      </c>
      <c r="J68" s="2" t="s">
        <v>17</v>
      </c>
      <c r="K68" s="2" t="s">
        <v>18</v>
      </c>
      <c r="L68" s="5">
        <v>46254</v>
      </c>
      <c r="M68" s="2" t="s">
        <v>145</v>
      </c>
    </row>
    <row r="69" spans="1:13" ht="15" customHeight="1" x14ac:dyDescent="0.25">
      <c r="A69" s="2" t="s">
        <v>148</v>
      </c>
      <c r="B69" s="2" t="s">
        <v>149</v>
      </c>
      <c r="C69" s="2" t="s">
        <v>15</v>
      </c>
      <c r="D69" s="2">
        <v>1</v>
      </c>
      <c r="E69" s="3">
        <v>7243</v>
      </c>
      <c r="F69" s="3">
        <v>4851</v>
      </c>
      <c r="G69" s="3">
        <v>11719</v>
      </c>
      <c r="H69" s="4">
        <f t="shared" si="2"/>
        <v>0.4930942073799216</v>
      </c>
      <c r="I69" s="2" t="s">
        <v>16</v>
      </c>
      <c r="J69" s="2" t="s">
        <v>17</v>
      </c>
      <c r="K69" s="2" t="s">
        <v>18</v>
      </c>
      <c r="L69" s="5">
        <v>46254</v>
      </c>
      <c r="M69" s="2" t="s">
        <v>150</v>
      </c>
    </row>
    <row r="70" spans="1:13" ht="15" customHeight="1" x14ac:dyDescent="0.25">
      <c r="A70" s="2" t="s">
        <v>148</v>
      </c>
      <c r="B70" s="2" t="s">
        <v>151</v>
      </c>
      <c r="C70" s="2" t="s">
        <v>26</v>
      </c>
      <c r="D70" s="2">
        <v>2</v>
      </c>
      <c r="E70" s="3">
        <v>4382</v>
      </c>
      <c r="F70" s="3">
        <v>5369</v>
      </c>
      <c r="G70" s="3">
        <v>10032</v>
      </c>
      <c r="H70" s="4">
        <f t="shared" si="2"/>
        <v>-0.18383311603650587</v>
      </c>
      <c r="I70" s="2" t="s">
        <v>16</v>
      </c>
      <c r="J70" s="2" t="s">
        <v>17</v>
      </c>
      <c r="K70" s="2" t="s">
        <v>18</v>
      </c>
      <c r="L70" s="5">
        <v>46254</v>
      </c>
      <c r="M70" s="2" t="s">
        <v>150</v>
      </c>
    </row>
    <row r="71" spans="1:13" ht="15" customHeight="1" x14ac:dyDescent="0.25">
      <c r="A71" s="2" t="s">
        <v>148</v>
      </c>
      <c r="B71" s="2" t="s">
        <v>152</v>
      </c>
      <c r="C71" s="2" t="s">
        <v>15</v>
      </c>
      <c r="D71" s="2">
        <v>3</v>
      </c>
      <c r="E71" s="3">
        <v>86</v>
      </c>
      <c r="F71" s="3">
        <v>4250</v>
      </c>
      <c r="G71" s="3">
        <v>3561</v>
      </c>
      <c r="H71" s="4">
        <f t="shared" si="2"/>
        <v>-0.97976470588235298</v>
      </c>
      <c r="I71" s="2" t="s">
        <v>16</v>
      </c>
      <c r="J71" s="2" t="s">
        <v>17</v>
      </c>
      <c r="K71" s="2" t="s">
        <v>18</v>
      </c>
      <c r="L71" s="5">
        <v>46254</v>
      </c>
      <c r="M71" s="2" t="s">
        <v>153</v>
      </c>
    </row>
    <row r="72" spans="1:13" ht="15" customHeight="1" x14ac:dyDescent="0.25">
      <c r="A72" s="2" t="s">
        <v>154</v>
      </c>
      <c r="B72" s="2" t="s">
        <v>155</v>
      </c>
      <c r="C72" s="2" t="s">
        <v>26</v>
      </c>
      <c r="D72" s="2">
        <v>1</v>
      </c>
      <c r="E72" s="3">
        <v>4712</v>
      </c>
      <c r="F72" s="3">
        <v>7564</v>
      </c>
      <c r="G72" s="3">
        <v>11312</v>
      </c>
      <c r="H72" s="4">
        <f t="shared" si="2"/>
        <v>-0.37704918032786883</v>
      </c>
      <c r="I72" s="2" t="s">
        <v>16</v>
      </c>
      <c r="J72" s="2" t="s">
        <v>17</v>
      </c>
      <c r="K72" s="2" t="s">
        <v>18</v>
      </c>
      <c r="L72" s="5">
        <v>46254</v>
      </c>
      <c r="M72" s="2" t="s">
        <v>156</v>
      </c>
    </row>
    <row r="73" spans="1:13" ht="15" customHeight="1" x14ac:dyDescent="0.25">
      <c r="A73" s="2" t="s">
        <v>154</v>
      </c>
      <c r="B73" s="2" t="s">
        <v>157</v>
      </c>
      <c r="C73" s="2" t="s">
        <v>21</v>
      </c>
      <c r="D73" s="2">
        <v>2</v>
      </c>
      <c r="E73" s="3">
        <v>3299</v>
      </c>
      <c r="F73" s="3">
        <v>5067</v>
      </c>
      <c r="G73" s="3">
        <v>9809</v>
      </c>
      <c r="H73" s="4">
        <f t="shared" si="2"/>
        <v>-0.34892441286757447</v>
      </c>
      <c r="I73" s="2" t="s">
        <v>16</v>
      </c>
      <c r="J73" s="2" t="s">
        <v>17</v>
      </c>
      <c r="K73" s="2" t="s">
        <v>18</v>
      </c>
      <c r="L73" s="5">
        <v>46254</v>
      </c>
      <c r="M73" s="2" t="s">
        <v>156</v>
      </c>
    </row>
    <row r="74" spans="1:13" ht="15" customHeight="1" x14ac:dyDescent="0.25">
      <c r="A74" s="2" t="s">
        <v>154</v>
      </c>
      <c r="B74" s="2" t="s">
        <v>158</v>
      </c>
      <c r="C74" s="2" t="s">
        <v>58</v>
      </c>
      <c r="D74" s="2">
        <v>3</v>
      </c>
      <c r="E74" s="3">
        <v>1354</v>
      </c>
      <c r="F74" s="3">
        <v>463</v>
      </c>
      <c r="G74" s="3">
        <v>1157</v>
      </c>
      <c r="H74" s="4">
        <f t="shared" si="2"/>
        <v>1.9244060475161988</v>
      </c>
      <c r="I74" s="2" t="s">
        <v>16</v>
      </c>
      <c r="J74" s="2" t="s">
        <v>17</v>
      </c>
      <c r="K74" s="2" t="s">
        <v>18</v>
      </c>
      <c r="L74" s="5">
        <v>46254</v>
      </c>
      <c r="M74" s="2" t="s">
        <v>156</v>
      </c>
    </row>
    <row r="75" spans="1:13" ht="15" customHeight="1" x14ac:dyDescent="0.25">
      <c r="A75" s="2" t="s">
        <v>154</v>
      </c>
      <c r="B75" s="2" t="s">
        <v>159</v>
      </c>
      <c r="C75" s="2" t="s">
        <v>58</v>
      </c>
      <c r="D75" s="2">
        <v>4</v>
      </c>
      <c r="E75" s="3">
        <v>313</v>
      </c>
      <c r="F75" s="3">
        <v>168</v>
      </c>
      <c r="G75" s="3">
        <v>307</v>
      </c>
      <c r="H75" s="4">
        <f t="shared" si="2"/>
        <v>0.86309523809523814</v>
      </c>
      <c r="I75" s="2" t="s">
        <v>16</v>
      </c>
      <c r="J75" s="2" t="s">
        <v>17</v>
      </c>
      <c r="K75" s="2" t="s">
        <v>18</v>
      </c>
      <c r="L75" s="5">
        <v>46254</v>
      </c>
      <c r="M75" s="2" t="s">
        <v>156</v>
      </c>
    </row>
    <row r="76" spans="1:13" ht="15" customHeight="1" x14ac:dyDescent="0.25">
      <c r="A76" s="2" t="s">
        <v>154</v>
      </c>
      <c r="B76" s="2" t="s">
        <v>160</v>
      </c>
      <c r="C76" s="2" t="s">
        <v>58</v>
      </c>
      <c r="D76" s="2">
        <v>5</v>
      </c>
      <c r="E76" s="3">
        <v>296</v>
      </c>
      <c r="F76" s="3">
        <v>300</v>
      </c>
      <c r="G76" s="3">
        <v>526</v>
      </c>
      <c r="H76" s="4">
        <f t="shared" si="2"/>
        <v>-1.3333333333333308E-2</v>
      </c>
      <c r="I76" s="2" t="s">
        <v>16</v>
      </c>
      <c r="J76" s="2" t="s">
        <v>17</v>
      </c>
      <c r="K76" s="2" t="s">
        <v>18</v>
      </c>
      <c r="L76" s="5">
        <v>46254</v>
      </c>
      <c r="M76" s="2" t="s">
        <v>156</v>
      </c>
    </row>
    <row r="77" spans="1:13" ht="15" customHeight="1" x14ac:dyDescent="0.25">
      <c r="A77" s="2" t="s">
        <v>161</v>
      </c>
      <c r="B77" s="2" t="s">
        <v>162</v>
      </c>
      <c r="C77" s="2" t="s">
        <v>58</v>
      </c>
      <c r="D77" s="2">
        <v>1</v>
      </c>
      <c r="E77" s="3">
        <v>1522</v>
      </c>
      <c r="F77" s="3">
        <v>1579</v>
      </c>
      <c r="G77" s="3">
        <v>2828</v>
      </c>
      <c r="H77" s="4">
        <f t="shared" si="2"/>
        <v>-3.6098796706776404E-2</v>
      </c>
      <c r="I77" s="2" t="s">
        <v>16</v>
      </c>
      <c r="J77" s="2" t="s">
        <v>17</v>
      </c>
      <c r="K77" s="2" t="s">
        <v>18</v>
      </c>
      <c r="L77" s="5">
        <v>46254</v>
      </c>
      <c r="M77" s="2" t="s">
        <v>163</v>
      </c>
    </row>
    <row r="78" spans="1:13" ht="15" customHeight="1" x14ac:dyDescent="0.25">
      <c r="A78" s="2" t="s">
        <v>161</v>
      </c>
      <c r="B78" s="2" t="s">
        <v>164</v>
      </c>
      <c r="C78" s="2" t="s">
        <v>58</v>
      </c>
      <c r="D78" s="2">
        <v>2</v>
      </c>
      <c r="E78" s="3">
        <v>1491</v>
      </c>
      <c r="F78" s="3">
        <v>1048</v>
      </c>
      <c r="G78" s="3">
        <v>2129</v>
      </c>
      <c r="H78" s="4">
        <f t="shared" si="2"/>
        <v>0.42270992366412208</v>
      </c>
      <c r="I78" s="2" t="s">
        <v>16</v>
      </c>
      <c r="J78" s="2" t="s">
        <v>17</v>
      </c>
      <c r="K78" s="2" t="s">
        <v>18</v>
      </c>
      <c r="L78" s="5">
        <v>46254</v>
      </c>
      <c r="M78" s="2" t="s">
        <v>165</v>
      </c>
    </row>
    <row r="79" spans="1:13" ht="15" customHeight="1" x14ac:dyDescent="0.25">
      <c r="A79" s="2" t="s">
        <v>161</v>
      </c>
      <c r="B79" s="2" t="s">
        <v>166</v>
      </c>
      <c r="C79" s="2" t="s">
        <v>58</v>
      </c>
      <c r="D79" s="2">
        <v>3</v>
      </c>
      <c r="E79" s="3">
        <v>92</v>
      </c>
      <c r="F79" s="3">
        <v>114</v>
      </c>
      <c r="G79" s="3">
        <v>180</v>
      </c>
      <c r="H79" s="4">
        <f t="shared" si="2"/>
        <v>-0.19298245614035092</v>
      </c>
      <c r="I79" s="2" t="s">
        <v>16</v>
      </c>
      <c r="J79" s="2" t="s">
        <v>17</v>
      </c>
      <c r="K79" s="2" t="s">
        <v>18</v>
      </c>
      <c r="L79" s="5">
        <v>46254</v>
      </c>
      <c r="M79" s="2" t="s">
        <v>165</v>
      </c>
    </row>
    <row r="80" spans="1:13" ht="15" customHeight="1" x14ac:dyDescent="0.25">
      <c r="A80" s="2" t="s">
        <v>167</v>
      </c>
      <c r="B80" s="2" t="s">
        <v>168</v>
      </c>
      <c r="C80" s="2" t="s">
        <v>26</v>
      </c>
      <c r="D80" s="2">
        <v>1</v>
      </c>
      <c r="E80" s="3">
        <v>11738</v>
      </c>
      <c r="F80" s="3"/>
      <c r="G80" s="3"/>
      <c r="H80" s="4" t="str">
        <f t="shared" si="2"/>
        <v/>
      </c>
      <c r="I80" s="2" t="s">
        <v>16</v>
      </c>
      <c r="J80" s="2" t="s">
        <v>17</v>
      </c>
      <c r="K80" s="2" t="s">
        <v>18</v>
      </c>
      <c r="L80" s="5">
        <v>46254</v>
      </c>
      <c r="M80" s="2" t="s">
        <v>169</v>
      </c>
    </row>
    <row r="81" spans="1:13" ht="15" customHeight="1" x14ac:dyDescent="0.25">
      <c r="A81" s="2" t="s">
        <v>167</v>
      </c>
      <c r="B81" s="2" t="s">
        <v>170</v>
      </c>
      <c r="C81" s="2" t="s">
        <v>26</v>
      </c>
      <c r="D81" s="2">
        <v>2</v>
      </c>
      <c r="E81" s="3">
        <v>9483</v>
      </c>
      <c r="F81" s="3">
        <v>1312</v>
      </c>
      <c r="G81" s="3">
        <v>4919</v>
      </c>
      <c r="H81" s="4">
        <f t="shared" si="2"/>
        <v>6.2278963414634143</v>
      </c>
      <c r="I81" s="2" t="s">
        <v>16</v>
      </c>
      <c r="J81" s="2" t="s">
        <v>17</v>
      </c>
      <c r="K81" s="2" t="s">
        <v>18</v>
      </c>
      <c r="L81" s="5">
        <v>46254</v>
      </c>
      <c r="M81" s="2" t="s">
        <v>171</v>
      </c>
    </row>
  </sheetData>
  <autoFilter ref="A1:M8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6"/>
  <sheetViews>
    <sheetView zoomScaleNormal="100" workbookViewId="0"/>
  </sheetViews>
  <sheetFormatPr defaultColWidth="8.7109375" defaultRowHeight="15" x14ac:dyDescent="0.25"/>
  <cols>
    <col min="1" max="1" width="48" customWidth="1"/>
    <col min="2" max="2" width="22" customWidth="1"/>
    <col min="3" max="3" width="34" customWidth="1"/>
    <col min="4" max="4" width="52" customWidth="1"/>
    <col min="5" max="5" width="14" customWidth="1"/>
    <col min="6" max="6" width="95" customWidth="1"/>
  </cols>
  <sheetData>
    <row r="1" spans="1:6" ht="15" customHeight="1" x14ac:dyDescent="0.25">
      <c r="A1" s="6" t="s">
        <v>172</v>
      </c>
      <c r="B1" s="6" t="s">
        <v>10</v>
      </c>
      <c r="C1" s="6" t="s">
        <v>173</v>
      </c>
      <c r="D1" s="6" t="s">
        <v>174</v>
      </c>
      <c r="E1" s="6" t="s">
        <v>11</v>
      </c>
      <c r="F1" s="6" t="s">
        <v>175</v>
      </c>
    </row>
    <row r="2" spans="1:6" ht="15" customHeight="1" x14ac:dyDescent="0.25">
      <c r="A2" s="2" t="s">
        <v>176</v>
      </c>
      <c r="B2" s="2" t="s">
        <v>18</v>
      </c>
      <c r="C2" s="2" t="s">
        <v>177</v>
      </c>
      <c r="D2" s="5">
        <v>46237</v>
      </c>
      <c r="E2" s="5">
        <v>46254</v>
      </c>
      <c r="F2" s="2" t="s">
        <v>178</v>
      </c>
    </row>
    <row r="3" spans="1:6" ht="15" customHeight="1" x14ac:dyDescent="0.25">
      <c r="A3" s="2" t="s">
        <v>179</v>
      </c>
      <c r="B3" s="2" t="s">
        <v>180</v>
      </c>
      <c r="C3" s="2" t="s">
        <v>181</v>
      </c>
      <c r="D3" s="5">
        <v>45870</v>
      </c>
      <c r="E3" s="5">
        <v>46254</v>
      </c>
      <c r="F3" s="2" t="s">
        <v>182</v>
      </c>
    </row>
    <row r="4" spans="1:6" ht="15" customHeight="1" x14ac:dyDescent="0.25">
      <c r="A4" s="2" t="s">
        <v>183</v>
      </c>
      <c r="B4" s="2" t="s">
        <v>184</v>
      </c>
      <c r="C4" s="2" t="s">
        <v>185</v>
      </c>
      <c r="D4" s="5">
        <v>46027</v>
      </c>
      <c r="E4" s="5">
        <v>46254</v>
      </c>
      <c r="F4" s="2" t="s">
        <v>186</v>
      </c>
    </row>
    <row r="5" spans="1:6" ht="15" customHeight="1" x14ac:dyDescent="0.25">
      <c r="A5" s="2" t="s">
        <v>187</v>
      </c>
      <c r="B5" s="2" t="s">
        <v>188</v>
      </c>
      <c r="C5" s="2" t="s">
        <v>189</v>
      </c>
      <c r="D5" s="5">
        <v>46136</v>
      </c>
      <c r="E5" s="5">
        <v>46254</v>
      </c>
      <c r="F5" s="2" t="s">
        <v>190</v>
      </c>
    </row>
    <row r="6" spans="1:6" ht="15" customHeight="1" x14ac:dyDescent="0.25">
      <c r="A6" s="2" t="s">
        <v>191</v>
      </c>
      <c r="B6" s="2" t="s">
        <v>192</v>
      </c>
      <c r="C6" s="2" t="s">
        <v>193</v>
      </c>
      <c r="D6" s="5"/>
      <c r="E6" s="5">
        <v>46254</v>
      </c>
      <c r="F6" s="2" t="s">
        <v>194</v>
      </c>
    </row>
    <row r="7" spans="1:6" ht="15" customHeight="1" x14ac:dyDescent="0.25">
      <c r="A7" s="2" t="s">
        <v>195</v>
      </c>
      <c r="B7" s="2" t="s">
        <v>196</v>
      </c>
      <c r="C7" s="2" t="s">
        <v>197</v>
      </c>
      <c r="D7" s="5"/>
      <c r="E7" s="5">
        <v>46254</v>
      </c>
      <c r="F7" s="2" t="s">
        <v>198</v>
      </c>
    </row>
    <row r="8" spans="1:6" ht="15" customHeight="1" x14ac:dyDescent="0.25">
      <c r="A8" s="2" t="s">
        <v>199</v>
      </c>
      <c r="B8" s="2" t="s">
        <v>200</v>
      </c>
      <c r="C8" s="2" t="s">
        <v>201</v>
      </c>
      <c r="D8" s="5"/>
      <c r="E8" s="5">
        <v>46254</v>
      </c>
      <c r="F8" s="2" t="s">
        <v>202</v>
      </c>
    </row>
    <row r="9" spans="1:6" ht="15" customHeight="1" x14ac:dyDescent="0.25">
      <c r="A9" s="2" t="s">
        <v>203</v>
      </c>
      <c r="B9" s="2" t="s">
        <v>204</v>
      </c>
      <c r="C9" s="2" t="s">
        <v>201</v>
      </c>
      <c r="D9" s="5">
        <v>46027</v>
      </c>
      <c r="E9" s="5">
        <v>46254</v>
      </c>
      <c r="F9" s="2" t="s">
        <v>205</v>
      </c>
    </row>
    <row r="10" spans="1:6" ht="15" customHeight="1" x14ac:dyDescent="0.25">
      <c r="A10" s="2"/>
      <c r="B10" s="2"/>
      <c r="C10" s="2"/>
      <c r="D10" s="2"/>
      <c r="E10" s="2"/>
      <c r="F10" s="2"/>
    </row>
    <row r="11" spans="1:6" ht="15" customHeight="1" x14ac:dyDescent="0.25">
      <c r="A11" s="7" t="s">
        <v>206</v>
      </c>
      <c r="B11" s="2"/>
      <c r="C11" s="2"/>
      <c r="D11" s="2"/>
      <c r="E11" s="2"/>
      <c r="F11" s="2"/>
    </row>
    <row r="12" spans="1:6" ht="15" customHeight="1" x14ac:dyDescent="0.25">
      <c r="A12" s="7" t="s">
        <v>0</v>
      </c>
      <c r="B12" s="7" t="s">
        <v>6</v>
      </c>
      <c r="C12" s="7" t="s">
        <v>207</v>
      </c>
      <c r="D12" s="7" t="s">
        <v>10</v>
      </c>
      <c r="E12" s="2"/>
      <c r="F12" s="7" t="s">
        <v>12</v>
      </c>
    </row>
    <row r="13" spans="1:6" ht="15" customHeight="1" x14ac:dyDescent="0.25">
      <c r="A13" s="2" t="s">
        <v>208</v>
      </c>
      <c r="B13" s="3">
        <v>5247</v>
      </c>
      <c r="C13" s="2" t="s">
        <v>209</v>
      </c>
      <c r="D13" s="2" t="s">
        <v>200</v>
      </c>
      <c r="E13" s="2"/>
      <c r="F13" s="2" t="s">
        <v>210</v>
      </c>
    </row>
    <row r="14" spans="1:6" ht="15" customHeight="1" x14ac:dyDescent="0.25">
      <c r="A14" s="2" t="s">
        <v>211</v>
      </c>
      <c r="B14" s="3">
        <v>3072</v>
      </c>
      <c r="C14" s="2" t="s">
        <v>212</v>
      </c>
      <c r="D14" s="2" t="s">
        <v>184</v>
      </c>
      <c r="E14" s="2"/>
      <c r="F14" s="2" t="s">
        <v>213</v>
      </c>
    </row>
    <row r="15" spans="1:6" ht="15" customHeight="1" x14ac:dyDescent="0.25">
      <c r="A15" s="2" t="s">
        <v>214</v>
      </c>
      <c r="B15" s="3">
        <v>3370</v>
      </c>
      <c r="C15" s="2" t="s">
        <v>215</v>
      </c>
      <c r="D15" s="2" t="s">
        <v>188</v>
      </c>
      <c r="E15" s="2"/>
      <c r="F15" s="2" t="s">
        <v>216</v>
      </c>
    </row>
    <row r="16" spans="1:6" ht="15" customHeight="1" x14ac:dyDescent="0.25">
      <c r="A16" s="2" t="s">
        <v>217</v>
      </c>
      <c r="B16" s="3">
        <v>3636</v>
      </c>
      <c r="C16" s="2" t="s">
        <v>209</v>
      </c>
      <c r="D16" s="2" t="s">
        <v>200</v>
      </c>
      <c r="E16" s="2"/>
      <c r="F16" s="2" t="s">
        <v>218</v>
      </c>
    </row>
    <row r="17" spans="1:6" ht="15" customHeight="1" x14ac:dyDescent="0.25">
      <c r="A17" s="2" t="s">
        <v>219</v>
      </c>
      <c r="B17" s="3">
        <v>3012</v>
      </c>
      <c r="C17" s="2" t="s">
        <v>209</v>
      </c>
      <c r="D17" s="2" t="s">
        <v>200</v>
      </c>
      <c r="E17" s="2"/>
      <c r="F17" s="2" t="s">
        <v>220</v>
      </c>
    </row>
    <row r="18" spans="1:6" ht="15" customHeight="1" x14ac:dyDescent="0.25">
      <c r="A18" s="2" t="s">
        <v>221</v>
      </c>
      <c r="B18" s="3">
        <v>2768</v>
      </c>
      <c r="C18" s="2" t="s">
        <v>222</v>
      </c>
      <c r="D18" s="2" t="s">
        <v>184</v>
      </c>
      <c r="E18" s="2"/>
      <c r="F18" s="2" t="s">
        <v>220</v>
      </c>
    </row>
    <row r="19" spans="1:6" ht="15" customHeight="1" x14ac:dyDescent="0.25">
      <c r="A19" s="2" t="s">
        <v>223</v>
      </c>
      <c r="B19" s="3">
        <v>2390</v>
      </c>
      <c r="C19" s="2" t="s">
        <v>222</v>
      </c>
      <c r="D19" s="2" t="s">
        <v>184</v>
      </c>
      <c r="E19" s="2"/>
      <c r="F19" s="2" t="s">
        <v>224</v>
      </c>
    </row>
    <row r="20" spans="1:6" ht="15" customHeight="1" x14ac:dyDescent="0.25">
      <c r="A20" s="2" t="s">
        <v>225</v>
      </c>
      <c r="B20" s="3">
        <v>1588</v>
      </c>
      <c r="C20" s="2" t="s">
        <v>209</v>
      </c>
      <c r="D20" s="2" t="s">
        <v>200</v>
      </c>
      <c r="E20" s="2"/>
      <c r="F20" s="2" t="s">
        <v>220</v>
      </c>
    </row>
    <row r="21" spans="1:6" ht="15" customHeight="1" x14ac:dyDescent="0.25">
      <c r="A21" s="2" t="s">
        <v>226</v>
      </c>
      <c r="B21" s="3">
        <v>1404</v>
      </c>
      <c r="C21" s="2" t="s">
        <v>209</v>
      </c>
      <c r="D21" s="2" t="s">
        <v>200</v>
      </c>
      <c r="E21" s="2"/>
      <c r="F21" s="2" t="s">
        <v>220</v>
      </c>
    </row>
    <row r="22" spans="1:6" ht="15" customHeight="1" x14ac:dyDescent="0.25">
      <c r="A22" s="2" t="s">
        <v>227</v>
      </c>
      <c r="B22" s="3">
        <v>1299</v>
      </c>
      <c r="C22" s="2" t="s">
        <v>209</v>
      </c>
      <c r="D22" s="2" t="s">
        <v>200</v>
      </c>
      <c r="E22" s="2"/>
      <c r="F22" s="2" t="s">
        <v>220</v>
      </c>
    </row>
    <row r="23" spans="1:6" ht="15" customHeight="1" x14ac:dyDescent="0.25">
      <c r="A23" s="2" t="s">
        <v>228</v>
      </c>
      <c r="B23" s="3">
        <v>1001</v>
      </c>
      <c r="C23" s="2" t="s">
        <v>222</v>
      </c>
      <c r="D23" s="2" t="s">
        <v>184</v>
      </c>
      <c r="E23" s="2"/>
      <c r="F23" s="2" t="s">
        <v>220</v>
      </c>
    </row>
    <row r="24" spans="1:6" ht="15" customHeight="1" x14ac:dyDescent="0.25">
      <c r="A24" s="2" t="s">
        <v>229</v>
      </c>
      <c r="B24" s="3">
        <v>988</v>
      </c>
      <c r="C24" s="2" t="s">
        <v>209</v>
      </c>
      <c r="D24" s="2" t="s">
        <v>200</v>
      </c>
      <c r="E24" s="2"/>
      <c r="F24" s="2" t="s">
        <v>220</v>
      </c>
    </row>
    <row r="25" spans="1:6" ht="15" customHeight="1" x14ac:dyDescent="0.25">
      <c r="A25" s="2" t="s">
        <v>230</v>
      </c>
      <c r="B25" s="3">
        <v>574</v>
      </c>
      <c r="C25" s="2" t="s">
        <v>209</v>
      </c>
      <c r="D25" s="2" t="s">
        <v>200</v>
      </c>
      <c r="E25" s="2"/>
      <c r="F25" s="2" t="s">
        <v>231</v>
      </c>
    </row>
    <row r="26" spans="1:6" ht="15" customHeight="1" x14ac:dyDescent="0.25">
      <c r="A26" s="2" t="s">
        <v>232</v>
      </c>
      <c r="B26" s="3">
        <v>571</v>
      </c>
      <c r="C26" s="2" t="s">
        <v>209</v>
      </c>
      <c r="D26" s="2" t="s">
        <v>200</v>
      </c>
      <c r="E26" s="2"/>
      <c r="F26" s="2" t="s">
        <v>220</v>
      </c>
    </row>
    <row r="27" spans="1:6" ht="15" customHeight="1" x14ac:dyDescent="0.25">
      <c r="A27" s="2" t="s">
        <v>233</v>
      </c>
      <c r="B27" s="3">
        <v>528</v>
      </c>
      <c r="C27" s="2" t="s">
        <v>222</v>
      </c>
      <c r="D27" s="2" t="s">
        <v>184</v>
      </c>
      <c r="E27" s="2"/>
      <c r="F27" s="2" t="s">
        <v>220</v>
      </c>
    </row>
    <row r="28" spans="1:6" ht="15" customHeight="1" x14ac:dyDescent="0.25">
      <c r="A28" s="2" t="s">
        <v>234</v>
      </c>
      <c r="B28" s="2"/>
      <c r="C28" s="2" t="s">
        <v>235</v>
      </c>
      <c r="D28" s="2" t="s">
        <v>200</v>
      </c>
      <c r="E28" s="2"/>
      <c r="F28" s="2" t="s">
        <v>236</v>
      </c>
    </row>
    <row r="29" spans="1:6" ht="15" customHeight="1" x14ac:dyDescent="0.25">
      <c r="A29" s="2" t="s">
        <v>237</v>
      </c>
      <c r="B29" s="2"/>
      <c r="C29" s="2" t="s">
        <v>238</v>
      </c>
      <c r="D29" s="2"/>
      <c r="E29" s="2"/>
      <c r="F29" s="2" t="s">
        <v>239</v>
      </c>
    </row>
    <row r="30" spans="1:6" ht="15" customHeight="1" x14ac:dyDescent="0.25">
      <c r="A30" s="2" t="s">
        <v>240</v>
      </c>
      <c r="B30" s="2"/>
      <c r="C30" s="2" t="s">
        <v>238</v>
      </c>
      <c r="D30" s="2"/>
      <c r="E30" s="2"/>
      <c r="F30" s="2" t="s">
        <v>241</v>
      </c>
    </row>
    <row r="31" spans="1:6" ht="15" customHeight="1" x14ac:dyDescent="0.25">
      <c r="A31" s="2" t="s">
        <v>242</v>
      </c>
      <c r="B31" s="2"/>
      <c r="C31" s="2" t="s">
        <v>238</v>
      </c>
      <c r="D31" s="2"/>
      <c r="E31" s="2"/>
      <c r="F31" s="2" t="s">
        <v>243</v>
      </c>
    </row>
    <row r="32" spans="1:6" ht="15" customHeight="1" x14ac:dyDescent="0.25">
      <c r="A32" s="2"/>
      <c r="B32" s="2"/>
      <c r="C32" s="2"/>
      <c r="D32" s="2"/>
      <c r="E32" s="2"/>
      <c r="F32" s="2"/>
    </row>
    <row r="33" spans="1:6" ht="15" customHeight="1" x14ac:dyDescent="0.25">
      <c r="A33" s="7" t="s">
        <v>244</v>
      </c>
      <c r="B33" s="2"/>
      <c r="C33" s="2"/>
      <c r="D33" s="2"/>
      <c r="E33" s="2"/>
      <c r="F33" s="2"/>
    </row>
    <row r="34" spans="1:6" ht="15" customHeight="1" x14ac:dyDescent="0.25">
      <c r="A34" s="7" t="s">
        <v>0</v>
      </c>
      <c r="B34" s="7" t="s">
        <v>6</v>
      </c>
      <c r="C34" s="7" t="s">
        <v>245</v>
      </c>
      <c r="D34" s="2"/>
      <c r="E34" s="2"/>
      <c r="F34" s="2"/>
    </row>
    <row r="35" spans="1:6" ht="15" customHeight="1" x14ac:dyDescent="0.25">
      <c r="A35" s="2" t="s">
        <v>246</v>
      </c>
      <c r="B35" s="3">
        <v>39890</v>
      </c>
      <c r="C35" s="2" t="s">
        <v>247</v>
      </c>
      <c r="D35" s="2"/>
      <c r="E35" s="2"/>
      <c r="F35" s="2"/>
    </row>
    <row r="36" spans="1:6" ht="15" customHeight="1" x14ac:dyDescent="0.25">
      <c r="A36" s="2" t="s">
        <v>248</v>
      </c>
      <c r="B36" s="3">
        <v>16863</v>
      </c>
      <c r="C36" s="2" t="s">
        <v>249</v>
      </c>
      <c r="D36" s="2"/>
      <c r="E36" s="2"/>
      <c r="F36" s="2"/>
    </row>
    <row r="37" spans="1:6" ht="15" customHeight="1" x14ac:dyDescent="0.25">
      <c r="A37" s="2" t="s">
        <v>250</v>
      </c>
      <c r="B37" s="3">
        <v>10912</v>
      </c>
      <c r="C37" s="2" t="s">
        <v>251</v>
      </c>
      <c r="D37" s="2"/>
      <c r="E37" s="2"/>
      <c r="F37" s="2"/>
    </row>
    <row r="38" spans="1:6" ht="15" customHeight="1" x14ac:dyDescent="0.25">
      <c r="A38" s="2" t="s">
        <v>252</v>
      </c>
      <c r="B38" s="3">
        <v>9722</v>
      </c>
      <c r="C38" s="2" t="s">
        <v>253</v>
      </c>
      <c r="D38" s="2"/>
      <c r="E38" s="2"/>
      <c r="F38" s="2"/>
    </row>
    <row r="39" spans="1:6" ht="15" customHeight="1" x14ac:dyDescent="0.25">
      <c r="A39" s="2" t="s">
        <v>254</v>
      </c>
      <c r="B39" s="3">
        <v>5522</v>
      </c>
      <c r="C39" s="2" t="s">
        <v>255</v>
      </c>
      <c r="D39" s="2"/>
      <c r="E39" s="2"/>
      <c r="F39" s="2"/>
    </row>
    <row r="40" spans="1:6" ht="15" customHeight="1" x14ac:dyDescent="0.25">
      <c r="A40" s="2"/>
      <c r="B40" s="2"/>
      <c r="C40" s="2"/>
      <c r="D40" s="2"/>
      <c r="E40" s="2"/>
      <c r="F40" s="2"/>
    </row>
    <row r="41" spans="1:6" ht="15" customHeight="1" x14ac:dyDescent="0.25">
      <c r="A41" s="7" t="s">
        <v>256</v>
      </c>
      <c r="B41" s="2"/>
      <c r="C41" s="2"/>
      <c r="D41" s="2"/>
      <c r="E41" s="2"/>
      <c r="F41" s="2"/>
    </row>
    <row r="42" spans="1:6" ht="15" customHeight="1" x14ac:dyDescent="0.25">
      <c r="A42" s="7" t="s">
        <v>0</v>
      </c>
      <c r="B42" s="7" t="s">
        <v>1</v>
      </c>
      <c r="C42" s="7" t="s">
        <v>257</v>
      </c>
      <c r="D42" s="7" t="s">
        <v>258</v>
      </c>
      <c r="E42" s="2"/>
      <c r="F42" s="2"/>
    </row>
    <row r="43" spans="1:6" ht="15" customHeight="1" x14ac:dyDescent="0.25">
      <c r="A43" s="2" t="s">
        <v>49</v>
      </c>
      <c r="B43" s="2" t="s">
        <v>55</v>
      </c>
      <c r="C43" s="2" t="s">
        <v>259</v>
      </c>
      <c r="D43" s="2" t="s">
        <v>260</v>
      </c>
      <c r="E43" s="2"/>
      <c r="F43" s="2"/>
    </row>
    <row r="44" spans="1:6" ht="15" customHeight="1" x14ac:dyDescent="0.25">
      <c r="A44" s="2" t="s">
        <v>60</v>
      </c>
      <c r="B44" s="2" t="s">
        <v>64</v>
      </c>
      <c r="C44" s="2" t="s">
        <v>259</v>
      </c>
      <c r="D44" s="2" t="s">
        <v>261</v>
      </c>
      <c r="E44" s="2"/>
      <c r="F44" s="2"/>
    </row>
    <row r="45" spans="1:6" ht="15" customHeight="1" x14ac:dyDescent="0.25">
      <c r="A45" s="2" t="s">
        <v>104</v>
      </c>
      <c r="B45" s="2" t="s">
        <v>107</v>
      </c>
      <c r="C45" s="2" t="s">
        <v>259</v>
      </c>
      <c r="D45" s="2" t="s">
        <v>262</v>
      </c>
      <c r="E45" s="2"/>
      <c r="F45" s="2"/>
    </row>
    <row r="46" spans="1:6" ht="15" customHeight="1" x14ac:dyDescent="0.25">
      <c r="A46" s="2" t="s">
        <v>139</v>
      </c>
      <c r="B46" s="2" t="s">
        <v>142</v>
      </c>
      <c r="C46" s="2" t="s">
        <v>259</v>
      </c>
      <c r="D46" s="2" t="s">
        <v>262</v>
      </c>
      <c r="E46" s="2"/>
      <c r="F46" s="2"/>
    </row>
    <row r="47" spans="1:6" ht="15" customHeight="1" x14ac:dyDescent="0.25">
      <c r="A47" s="2" t="s">
        <v>167</v>
      </c>
      <c r="B47" s="2" t="s">
        <v>168</v>
      </c>
      <c r="C47" s="2" t="s">
        <v>259</v>
      </c>
      <c r="D47" s="2" t="s">
        <v>263</v>
      </c>
      <c r="E47" s="2"/>
      <c r="F47" s="2"/>
    </row>
    <row r="48" spans="1:6" ht="15" customHeight="1" x14ac:dyDescent="0.25">
      <c r="A48" s="2" t="s">
        <v>70</v>
      </c>
      <c r="B48" s="2" t="s">
        <v>76</v>
      </c>
      <c r="C48" s="2" t="s">
        <v>5</v>
      </c>
      <c r="D48" s="2" t="s">
        <v>264</v>
      </c>
      <c r="E48" s="2"/>
      <c r="F48" s="2"/>
    </row>
    <row r="49" spans="1:6" ht="15" customHeight="1" x14ac:dyDescent="0.25">
      <c r="A49" s="2" t="s">
        <v>93</v>
      </c>
      <c r="B49" s="2" t="s">
        <v>96</v>
      </c>
      <c r="C49" s="2" t="s">
        <v>5</v>
      </c>
      <c r="D49" s="2" t="s">
        <v>264</v>
      </c>
      <c r="E49" s="2"/>
      <c r="F49" s="2"/>
    </row>
    <row r="50" spans="1:6" ht="15" customHeight="1" x14ac:dyDescent="0.25">
      <c r="A50" s="2" t="s">
        <v>129</v>
      </c>
      <c r="B50" s="2" t="s">
        <v>132</v>
      </c>
      <c r="C50" s="2" t="s">
        <v>5</v>
      </c>
      <c r="D50" s="2" t="s">
        <v>264</v>
      </c>
      <c r="E50" s="2"/>
      <c r="F50" s="2"/>
    </row>
    <row r="51" spans="1:6" ht="15" customHeight="1" x14ac:dyDescent="0.25">
      <c r="A51" s="2" t="s">
        <v>129</v>
      </c>
      <c r="B51" s="2" t="s">
        <v>134</v>
      </c>
      <c r="C51" s="2" t="s">
        <v>5</v>
      </c>
      <c r="D51" s="2" t="s">
        <v>265</v>
      </c>
      <c r="E51" s="2"/>
      <c r="F51" s="2"/>
    </row>
    <row r="52" spans="1:6" ht="15" customHeight="1" x14ac:dyDescent="0.25">
      <c r="A52" s="2"/>
      <c r="B52" s="2"/>
      <c r="C52" s="2"/>
      <c r="D52" s="2"/>
      <c r="E52" s="2"/>
      <c r="F52" s="2"/>
    </row>
    <row r="53" spans="1:6" ht="15" customHeight="1" x14ac:dyDescent="0.25">
      <c r="A53" s="7" t="s">
        <v>266</v>
      </c>
      <c r="B53" s="2"/>
      <c r="C53" s="2"/>
      <c r="D53" s="2"/>
      <c r="E53" s="2"/>
      <c r="F53" s="2"/>
    </row>
    <row r="54" spans="1:6" ht="15" customHeight="1" x14ac:dyDescent="0.25">
      <c r="A54" s="2" t="s">
        <v>267</v>
      </c>
      <c r="B54" s="2"/>
      <c r="C54" s="2"/>
      <c r="D54" s="2"/>
      <c r="E54" s="2"/>
      <c r="F54" s="2"/>
    </row>
    <row r="55" spans="1:6" ht="15" customHeight="1" x14ac:dyDescent="0.25">
      <c r="A55" s="2" t="s">
        <v>268</v>
      </c>
      <c r="B55" s="2"/>
      <c r="C55" s="2"/>
      <c r="D55" s="2"/>
      <c r="E55" s="2"/>
      <c r="F55" s="2"/>
    </row>
    <row r="56" spans="1:6" ht="15" customHeight="1" x14ac:dyDescent="0.25">
      <c r="A56" s="2" t="s">
        <v>269</v>
      </c>
      <c r="B56" s="2"/>
      <c r="C56" s="2"/>
      <c r="D56" s="2"/>
      <c r="E56" s="2"/>
      <c r="F56" s="2"/>
    </row>
    <row r="57" spans="1:6" ht="15" customHeight="1" x14ac:dyDescent="0.25">
      <c r="A57" s="2" t="s">
        <v>270</v>
      </c>
      <c r="B57" s="2"/>
      <c r="C57" s="2"/>
      <c r="D57" s="2"/>
      <c r="E57" s="2"/>
      <c r="F57" s="2"/>
    </row>
    <row r="58" spans="1:6" ht="15" customHeight="1" x14ac:dyDescent="0.25">
      <c r="A58" s="2" t="s">
        <v>271</v>
      </c>
      <c r="B58" s="2"/>
      <c r="C58" s="2"/>
      <c r="D58" s="2"/>
      <c r="E58" s="2"/>
      <c r="F58" s="2"/>
    </row>
    <row r="59" spans="1:6" ht="15" customHeight="1" x14ac:dyDescent="0.25">
      <c r="A59" s="2" t="s">
        <v>272</v>
      </c>
      <c r="B59" s="2"/>
      <c r="C59" s="2"/>
      <c r="D59" s="2"/>
      <c r="E59" s="2"/>
      <c r="F59" s="2"/>
    </row>
    <row r="60" spans="1:6" ht="15" customHeight="1" x14ac:dyDescent="0.25">
      <c r="A60" s="2" t="s">
        <v>273</v>
      </c>
      <c r="B60" s="2"/>
      <c r="C60" s="2"/>
      <c r="D60" s="2"/>
      <c r="E60" s="2"/>
      <c r="F60" s="2"/>
    </row>
    <row r="61" spans="1:6" ht="15" customHeight="1" x14ac:dyDescent="0.25">
      <c r="A61" s="2" t="s">
        <v>274</v>
      </c>
      <c r="B61" s="2"/>
      <c r="C61" s="2"/>
      <c r="D61" s="2"/>
      <c r="E61" s="2"/>
      <c r="F61" s="2"/>
    </row>
    <row r="62" spans="1:6" ht="15" customHeight="1" x14ac:dyDescent="0.25">
      <c r="A62" s="2" t="s">
        <v>275</v>
      </c>
      <c r="B62" s="2"/>
      <c r="C62" s="2"/>
      <c r="D62" s="2"/>
      <c r="E62" s="2"/>
      <c r="F62" s="2"/>
    </row>
    <row r="63" spans="1:6" ht="15" customHeight="1" x14ac:dyDescent="0.25">
      <c r="A63" s="2" t="s">
        <v>276</v>
      </c>
      <c r="B63" s="2"/>
      <c r="C63" s="2"/>
      <c r="D63" s="2"/>
      <c r="E63" s="2"/>
      <c r="F63" s="2"/>
    </row>
    <row r="64" spans="1:6" ht="15" customHeight="1" x14ac:dyDescent="0.25">
      <c r="A64" s="2" t="s">
        <v>277</v>
      </c>
      <c r="B64" s="2"/>
      <c r="C64" s="2"/>
      <c r="D64" s="2"/>
      <c r="E64" s="2"/>
      <c r="F64" s="2"/>
    </row>
    <row r="65" spans="1:6" ht="15" customHeight="1" x14ac:dyDescent="0.25">
      <c r="A65" s="2" t="s">
        <v>278</v>
      </c>
      <c r="B65" s="2"/>
      <c r="C65" s="2"/>
      <c r="D65" s="2"/>
      <c r="E65" s="2"/>
      <c r="F65" s="2"/>
    </row>
    <row r="66" spans="1:6" ht="15" customHeight="1" x14ac:dyDescent="0.25">
      <c r="A66" s="2" t="s">
        <v>279</v>
      </c>
      <c r="B66" s="2"/>
      <c r="C66" s="2"/>
      <c r="D66" s="2"/>
      <c r="E66" s="2"/>
      <c r="F66" s="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1"/>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14" customWidth="1"/>
    <col min="2" max="2" width="16" customWidth="1"/>
    <col min="3" max="3" width="46" customWidth="1"/>
    <col min="4" max="4" width="44" customWidth="1"/>
    <col min="5" max="5" width="34" customWidth="1"/>
    <col min="6" max="11" width="14" customWidth="1"/>
    <col min="12" max="13" width="52" customWidth="1"/>
    <col min="14" max="14" width="14" customWidth="1"/>
    <col min="15" max="15" width="22" customWidth="1"/>
    <col min="16" max="19" width="14" customWidth="1"/>
    <col min="20" max="23" width="52" customWidth="1"/>
    <col min="24" max="24" width="14" customWidth="1"/>
    <col min="25" max="25" width="22" customWidth="1"/>
    <col min="26" max="26" width="100" customWidth="1"/>
  </cols>
  <sheetData>
    <row r="1" spans="1:26" ht="15" customHeight="1" x14ac:dyDescent="0.25">
      <c r="A1" s="1" t="s">
        <v>0</v>
      </c>
      <c r="B1" s="1" t="s">
        <v>1</v>
      </c>
      <c r="C1" s="1" t="s">
        <v>280</v>
      </c>
      <c r="D1" s="1" t="s">
        <v>281</v>
      </c>
      <c r="E1" s="1" t="s">
        <v>282</v>
      </c>
      <c r="F1" s="1" t="s">
        <v>283</v>
      </c>
      <c r="G1" s="1" t="s">
        <v>284</v>
      </c>
      <c r="H1" s="1" t="s">
        <v>285</v>
      </c>
      <c r="I1" s="1" t="s">
        <v>286</v>
      </c>
      <c r="J1" s="1" t="s">
        <v>287</v>
      </c>
      <c r="K1" s="1" t="s">
        <v>288</v>
      </c>
      <c r="L1" s="1" t="s">
        <v>289</v>
      </c>
      <c r="M1" s="1" t="s">
        <v>290</v>
      </c>
      <c r="N1" s="1" t="s">
        <v>291</v>
      </c>
      <c r="O1" s="1" t="s">
        <v>292</v>
      </c>
      <c r="P1" s="1" t="s">
        <v>293</v>
      </c>
      <c r="Q1" s="1" t="s">
        <v>294</v>
      </c>
      <c r="R1" s="1" t="s">
        <v>295</v>
      </c>
      <c r="S1" s="1" t="s">
        <v>296</v>
      </c>
      <c r="T1" s="1" t="s">
        <v>297</v>
      </c>
      <c r="U1" s="1" t="s">
        <v>298</v>
      </c>
      <c r="V1" s="1" t="s">
        <v>299</v>
      </c>
      <c r="W1" s="1" t="s">
        <v>300</v>
      </c>
      <c r="X1" s="1" t="s">
        <v>11</v>
      </c>
      <c r="Y1" s="1" t="s">
        <v>301</v>
      </c>
      <c r="Z1" s="1" t="s">
        <v>12</v>
      </c>
    </row>
    <row r="2" spans="1:26" ht="15" customHeight="1" x14ac:dyDescent="0.25">
      <c r="A2" s="2" t="s">
        <v>13</v>
      </c>
      <c r="B2" s="2" t="s">
        <v>14</v>
      </c>
      <c r="C2" s="2" t="s">
        <v>302</v>
      </c>
      <c r="D2" s="2" t="s">
        <v>303</v>
      </c>
      <c r="E2" s="2" t="s">
        <v>304</v>
      </c>
      <c r="F2" s="2">
        <v>24</v>
      </c>
      <c r="G2" s="2">
        <v>600</v>
      </c>
      <c r="H2" s="2">
        <v>16</v>
      </c>
      <c r="I2" s="2">
        <v>400</v>
      </c>
      <c r="J2" s="2"/>
      <c r="K2" s="8">
        <v>178.27</v>
      </c>
      <c r="L2" s="2" t="s">
        <v>305</v>
      </c>
      <c r="M2" s="2" t="s">
        <v>306</v>
      </c>
      <c r="N2" s="2" t="s">
        <v>307</v>
      </c>
      <c r="O2" s="2"/>
      <c r="P2" s="2"/>
      <c r="Q2" s="2"/>
      <c r="R2" s="2"/>
      <c r="S2" s="8"/>
      <c r="T2" s="2"/>
      <c r="U2" s="2"/>
      <c r="V2" s="2"/>
      <c r="W2" s="2"/>
      <c r="X2" s="5">
        <v>46260</v>
      </c>
      <c r="Y2" s="2" t="s">
        <v>308</v>
      </c>
      <c r="Z2" s="2" t="s">
        <v>309</v>
      </c>
    </row>
    <row r="3" spans="1:26" ht="15" customHeight="1" x14ac:dyDescent="0.25">
      <c r="A3" s="2" t="s">
        <v>13</v>
      </c>
      <c r="B3" s="2" t="s">
        <v>20</v>
      </c>
      <c r="C3" s="2" t="s">
        <v>310</v>
      </c>
      <c r="D3" s="2" t="s">
        <v>311</v>
      </c>
      <c r="E3" s="2" t="s">
        <v>304</v>
      </c>
      <c r="F3" s="2">
        <v>24</v>
      </c>
      <c r="G3" s="2">
        <v>600</v>
      </c>
      <c r="H3" s="2">
        <v>16</v>
      </c>
      <c r="I3" s="2">
        <v>400</v>
      </c>
      <c r="J3" s="2"/>
      <c r="K3" s="8">
        <v>178.27</v>
      </c>
      <c r="L3" s="2" t="s">
        <v>305</v>
      </c>
      <c r="M3" s="2" t="s">
        <v>306</v>
      </c>
      <c r="N3" s="2" t="s">
        <v>312</v>
      </c>
      <c r="O3" s="2" t="s">
        <v>313</v>
      </c>
      <c r="P3" s="2"/>
      <c r="Q3" s="2"/>
      <c r="R3" s="2"/>
      <c r="S3" s="8">
        <v>166.31</v>
      </c>
      <c r="T3" s="2" t="s">
        <v>305</v>
      </c>
      <c r="U3" s="2" t="s">
        <v>314</v>
      </c>
      <c r="V3" s="2" t="s">
        <v>315</v>
      </c>
      <c r="W3" s="2" t="s">
        <v>316</v>
      </c>
      <c r="X3" s="5">
        <v>46260</v>
      </c>
      <c r="Y3" s="2" t="s">
        <v>308</v>
      </c>
      <c r="Z3" s="2" t="s">
        <v>317</v>
      </c>
    </row>
    <row r="4" spans="1:26" ht="15" customHeight="1" x14ac:dyDescent="0.25">
      <c r="A4" s="2" t="s">
        <v>13</v>
      </c>
      <c r="B4" s="2" t="s">
        <v>23</v>
      </c>
      <c r="C4" s="2" t="s">
        <v>318</v>
      </c>
      <c r="D4" s="2" t="s">
        <v>303</v>
      </c>
      <c r="E4" s="2" t="s">
        <v>304</v>
      </c>
      <c r="F4" s="2">
        <v>24</v>
      </c>
      <c r="G4" s="2">
        <v>600</v>
      </c>
      <c r="H4" s="2">
        <v>16</v>
      </c>
      <c r="I4" s="2">
        <v>400</v>
      </c>
      <c r="J4" s="2"/>
      <c r="K4" s="8">
        <v>178.27</v>
      </c>
      <c r="L4" s="2" t="s">
        <v>305</v>
      </c>
      <c r="M4" s="2" t="s">
        <v>306</v>
      </c>
      <c r="N4" s="2" t="s">
        <v>312</v>
      </c>
      <c r="O4" s="2" t="s">
        <v>319</v>
      </c>
      <c r="P4" s="2"/>
      <c r="Q4" s="2"/>
      <c r="R4" s="2"/>
      <c r="S4" s="8">
        <v>36.89</v>
      </c>
      <c r="T4" s="2" t="s">
        <v>305</v>
      </c>
      <c r="U4" s="2" t="s">
        <v>320</v>
      </c>
      <c r="V4" s="2"/>
      <c r="W4" s="2"/>
      <c r="X4" s="5">
        <v>46260</v>
      </c>
      <c r="Y4" s="2" t="s">
        <v>308</v>
      </c>
      <c r="Z4" s="2" t="s">
        <v>321</v>
      </c>
    </row>
    <row r="5" spans="1:26" ht="15" customHeight="1" x14ac:dyDescent="0.25">
      <c r="A5" s="2" t="s">
        <v>13</v>
      </c>
      <c r="B5" s="2" t="s">
        <v>24</v>
      </c>
      <c r="C5" s="2" t="s">
        <v>322</v>
      </c>
      <c r="D5" s="2" t="s">
        <v>323</v>
      </c>
      <c r="E5" s="2" t="s">
        <v>304</v>
      </c>
      <c r="F5" s="2"/>
      <c r="G5" s="2"/>
      <c r="H5" s="2"/>
      <c r="I5" s="2"/>
      <c r="J5" s="2"/>
      <c r="K5" s="8">
        <v>289</v>
      </c>
      <c r="L5" s="2" t="s">
        <v>305</v>
      </c>
      <c r="M5" s="2" t="s">
        <v>324</v>
      </c>
      <c r="N5" s="2" t="s">
        <v>307</v>
      </c>
      <c r="O5" s="2"/>
      <c r="P5" s="2"/>
      <c r="Q5" s="2"/>
      <c r="R5" s="2"/>
      <c r="S5" s="8"/>
      <c r="T5" s="2"/>
      <c r="U5" s="2"/>
      <c r="V5" s="2" t="s">
        <v>325</v>
      </c>
      <c r="W5" s="2"/>
      <c r="X5" s="5">
        <v>46260</v>
      </c>
      <c r="Y5" s="2" t="s">
        <v>308</v>
      </c>
      <c r="Z5" s="2" t="s">
        <v>326</v>
      </c>
    </row>
    <row r="6" spans="1:26" ht="15" customHeight="1" x14ac:dyDescent="0.25">
      <c r="A6" s="2" t="s">
        <v>13</v>
      </c>
      <c r="B6" s="2" t="s">
        <v>25</v>
      </c>
      <c r="C6" s="2" t="s">
        <v>327</v>
      </c>
      <c r="D6" s="2" t="s">
        <v>311</v>
      </c>
      <c r="E6" s="2" t="s">
        <v>304</v>
      </c>
      <c r="F6" s="2">
        <v>24</v>
      </c>
      <c r="G6" s="2">
        <v>600</v>
      </c>
      <c r="H6" s="2">
        <v>16</v>
      </c>
      <c r="I6" s="2">
        <v>400</v>
      </c>
      <c r="J6" s="2"/>
      <c r="K6" s="8">
        <v>178.27</v>
      </c>
      <c r="L6" s="2" t="s">
        <v>305</v>
      </c>
      <c r="M6" s="2" t="s">
        <v>306</v>
      </c>
      <c r="N6" s="2" t="s">
        <v>312</v>
      </c>
      <c r="O6" s="2"/>
      <c r="P6" s="2"/>
      <c r="Q6" s="2"/>
      <c r="R6" s="2"/>
      <c r="S6" s="8"/>
      <c r="T6" s="2"/>
      <c r="U6" s="2"/>
      <c r="V6" s="2" t="s">
        <v>328</v>
      </c>
      <c r="W6" s="2" t="s">
        <v>316</v>
      </c>
      <c r="X6" s="5">
        <v>46260</v>
      </c>
      <c r="Y6" s="2" t="s">
        <v>308</v>
      </c>
      <c r="Z6" s="2" t="s">
        <v>329</v>
      </c>
    </row>
    <row r="7" spans="1:26" ht="15" customHeight="1" x14ac:dyDescent="0.25">
      <c r="A7" s="2" t="s">
        <v>27</v>
      </c>
      <c r="B7" s="2" t="s">
        <v>28</v>
      </c>
      <c r="C7" s="2" t="s">
        <v>330</v>
      </c>
      <c r="D7" s="2" t="s">
        <v>331</v>
      </c>
      <c r="E7" s="2" t="s">
        <v>332</v>
      </c>
      <c r="F7" s="2"/>
      <c r="G7" s="2"/>
      <c r="H7" s="2"/>
      <c r="I7" s="2"/>
      <c r="J7" s="2"/>
      <c r="K7" s="8"/>
      <c r="L7" s="2"/>
      <c r="M7" s="2"/>
      <c r="N7" s="2" t="s">
        <v>312</v>
      </c>
      <c r="O7" s="2" t="s">
        <v>333</v>
      </c>
      <c r="P7" s="2"/>
      <c r="Q7" s="2"/>
      <c r="R7" s="2"/>
      <c r="S7" s="8"/>
      <c r="T7" s="2"/>
      <c r="U7" s="2"/>
      <c r="V7" s="2" t="s">
        <v>334</v>
      </c>
      <c r="W7" s="2"/>
      <c r="X7" s="5">
        <v>46259</v>
      </c>
      <c r="Y7" s="2" t="s">
        <v>335</v>
      </c>
      <c r="Z7" s="2" t="s">
        <v>336</v>
      </c>
    </row>
    <row r="8" spans="1:26" ht="15" customHeight="1" x14ac:dyDescent="0.25">
      <c r="A8" s="2" t="s">
        <v>27</v>
      </c>
      <c r="B8" s="2" t="s">
        <v>30</v>
      </c>
      <c r="C8" s="2" t="s">
        <v>337</v>
      </c>
      <c r="D8" s="2" t="s">
        <v>338</v>
      </c>
      <c r="E8" s="2" t="s">
        <v>332</v>
      </c>
      <c r="F8" s="2"/>
      <c r="G8" s="2"/>
      <c r="H8" s="2"/>
      <c r="I8" s="2"/>
      <c r="J8" s="2"/>
      <c r="K8" s="8"/>
      <c r="L8" s="2"/>
      <c r="M8" s="2"/>
      <c r="N8" s="2" t="s">
        <v>312</v>
      </c>
      <c r="O8" s="2" t="s">
        <v>339</v>
      </c>
      <c r="P8" s="2"/>
      <c r="Q8" s="2"/>
      <c r="R8" s="2"/>
      <c r="S8" s="8"/>
      <c r="T8" s="2"/>
      <c r="U8" s="2"/>
      <c r="V8" s="2" t="s">
        <v>340</v>
      </c>
      <c r="W8" s="2"/>
      <c r="X8" s="5">
        <v>46259</v>
      </c>
      <c r="Y8" s="2" t="s">
        <v>335</v>
      </c>
      <c r="Z8" s="2" t="s">
        <v>341</v>
      </c>
    </row>
    <row r="9" spans="1:26" ht="15" customHeight="1" x14ac:dyDescent="0.25">
      <c r="A9" s="2" t="s">
        <v>27</v>
      </c>
      <c r="B9" s="2" t="s">
        <v>31</v>
      </c>
      <c r="C9" s="2" t="s">
        <v>342</v>
      </c>
      <c r="D9" s="2"/>
      <c r="E9" s="2"/>
      <c r="F9" s="2"/>
      <c r="G9" s="2"/>
      <c r="H9" s="2"/>
      <c r="I9" s="2"/>
      <c r="J9" s="2"/>
      <c r="K9" s="8"/>
      <c r="L9" s="2"/>
      <c r="M9" s="2"/>
      <c r="N9" s="2"/>
      <c r="O9" s="2"/>
      <c r="P9" s="2"/>
      <c r="Q9" s="2"/>
      <c r="R9" s="2"/>
      <c r="S9" s="8"/>
      <c r="T9" s="2"/>
      <c r="U9" s="2"/>
      <c r="V9" s="2" t="s">
        <v>343</v>
      </c>
      <c r="W9" s="2"/>
      <c r="X9" s="5">
        <v>46259</v>
      </c>
      <c r="Y9" s="2" t="s">
        <v>344</v>
      </c>
      <c r="Z9" s="2" t="s">
        <v>345</v>
      </c>
    </row>
    <row r="10" spans="1:26" ht="15" customHeight="1" x14ac:dyDescent="0.25">
      <c r="A10" s="2" t="s">
        <v>27</v>
      </c>
      <c r="B10" s="2" t="s">
        <v>33</v>
      </c>
      <c r="C10" s="2" t="s">
        <v>346</v>
      </c>
      <c r="D10" s="2" t="s">
        <v>331</v>
      </c>
      <c r="E10" s="2" t="s">
        <v>332</v>
      </c>
      <c r="F10" s="2"/>
      <c r="G10" s="2"/>
      <c r="H10" s="2"/>
      <c r="I10" s="2"/>
      <c r="J10" s="2"/>
      <c r="K10" s="8"/>
      <c r="L10" s="2"/>
      <c r="M10" s="2"/>
      <c r="N10" s="2" t="s">
        <v>312</v>
      </c>
      <c r="O10" s="2" t="s">
        <v>347</v>
      </c>
      <c r="P10" s="2"/>
      <c r="Q10" s="2"/>
      <c r="R10" s="2"/>
      <c r="S10" s="8"/>
      <c r="T10" s="2"/>
      <c r="U10" s="2"/>
      <c r="V10" s="2" t="s">
        <v>334</v>
      </c>
      <c r="W10" s="2"/>
      <c r="X10" s="5">
        <v>46259</v>
      </c>
      <c r="Y10" s="2" t="s">
        <v>335</v>
      </c>
      <c r="Z10" s="2" t="s">
        <v>348</v>
      </c>
    </row>
    <row r="11" spans="1:26" ht="15" customHeight="1" x14ac:dyDescent="0.25">
      <c r="A11" s="2" t="s">
        <v>27</v>
      </c>
      <c r="B11" s="2" t="s">
        <v>35</v>
      </c>
      <c r="C11" s="2" t="s">
        <v>349</v>
      </c>
      <c r="D11" s="2" t="s">
        <v>350</v>
      </c>
      <c r="E11" s="2" t="s">
        <v>351</v>
      </c>
      <c r="F11" s="2"/>
      <c r="G11" s="2"/>
      <c r="H11" s="2"/>
      <c r="I11" s="2"/>
      <c r="J11" s="2"/>
      <c r="K11" s="8"/>
      <c r="L11" s="2"/>
      <c r="M11" s="2"/>
      <c r="N11" s="2" t="s">
        <v>307</v>
      </c>
      <c r="O11" s="2"/>
      <c r="P11" s="2"/>
      <c r="Q11" s="2"/>
      <c r="R11" s="2"/>
      <c r="S11" s="8"/>
      <c r="T11" s="2"/>
      <c r="U11" s="2"/>
      <c r="V11" s="2" t="s">
        <v>352</v>
      </c>
      <c r="W11" s="2"/>
      <c r="X11" s="5">
        <v>46259</v>
      </c>
      <c r="Y11" s="2" t="s">
        <v>335</v>
      </c>
      <c r="Z11" s="2" t="s">
        <v>353</v>
      </c>
    </row>
    <row r="12" spans="1:26" ht="15" customHeight="1" x14ac:dyDescent="0.25">
      <c r="A12" s="2" t="s">
        <v>37</v>
      </c>
      <c r="B12" s="2" t="s">
        <v>38</v>
      </c>
      <c r="C12" s="2" t="s">
        <v>354</v>
      </c>
      <c r="D12" s="2" t="s">
        <v>355</v>
      </c>
      <c r="E12" s="2" t="s">
        <v>356</v>
      </c>
      <c r="F12" s="2">
        <v>24</v>
      </c>
      <c r="G12" s="2">
        <v>600</v>
      </c>
      <c r="H12" s="2">
        <v>16</v>
      </c>
      <c r="I12" s="2">
        <v>400</v>
      </c>
      <c r="J12" s="2"/>
      <c r="K12" s="8">
        <v>343.93</v>
      </c>
      <c r="L12" s="2" t="s">
        <v>357</v>
      </c>
      <c r="M12" s="2" t="s">
        <v>358</v>
      </c>
      <c r="N12" s="2" t="s">
        <v>312</v>
      </c>
      <c r="O12" s="2" t="s">
        <v>359</v>
      </c>
      <c r="P12" s="2">
        <v>11</v>
      </c>
      <c r="Q12" s="2">
        <v>285</v>
      </c>
      <c r="R12" s="2"/>
      <c r="S12" s="8">
        <v>86.13</v>
      </c>
      <c r="T12" s="2" t="s">
        <v>360</v>
      </c>
      <c r="U12" s="2" t="s">
        <v>361</v>
      </c>
      <c r="V12" s="2" t="s">
        <v>362</v>
      </c>
      <c r="W12" s="2" t="s">
        <v>363</v>
      </c>
      <c r="X12" s="5">
        <v>46259</v>
      </c>
      <c r="Y12" s="2" t="s">
        <v>308</v>
      </c>
      <c r="Z12" s="2" t="s">
        <v>364</v>
      </c>
    </row>
    <row r="13" spans="1:26" ht="15" customHeight="1" x14ac:dyDescent="0.25">
      <c r="A13" s="2" t="s">
        <v>37</v>
      </c>
      <c r="B13" s="2" t="s">
        <v>40</v>
      </c>
      <c r="C13" s="2" t="s">
        <v>365</v>
      </c>
      <c r="D13" s="2" t="s">
        <v>355</v>
      </c>
      <c r="E13" s="2" t="s">
        <v>356</v>
      </c>
      <c r="F13" s="2">
        <v>24</v>
      </c>
      <c r="G13" s="2">
        <v>600</v>
      </c>
      <c r="H13" s="2">
        <v>16</v>
      </c>
      <c r="I13" s="2">
        <v>400</v>
      </c>
      <c r="J13" s="2"/>
      <c r="K13" s="8">
        <v>343.93</v>
      </c>
      <c r="L13" s="2" t="s">
        <v>366</v>
      </c>
      <c r="M13" s="2" t="s">
        <v>358</v>
      </c>
      <c r="N13" s="2" t="s">
        <v>312</v>
      </c>
      <c r="O13" s="2" t="s">
        <v>367</v>
      </c>
      <c r="P13" s="2"/>
      <c r="Q13" s="2">
        <v>250</v>
      </c>
      <c r="R13" s="2"/>
      <c r="S13" s="8">
        <v>97.36</v>
      </c>
      <c r="T13" s="2" t="s">
        <v>368</v>
      </c>
      <c r="U13" s="2" t="s">
        <v>369</v>
      </c>
      <c r="V13" s="2" t="s">
        <v>370</v>
      </c>
      <c r="W13" s="2" t="s">
        <v>363</v>
      </c>
      <c r="X13" s="5">
        <v>46259</v>
      </c>
      <c r="Y13" s="2" t="s">
        <v>308</v>
      </c>
      <c r="Z13" s="2" t="s">
        <v>371</v>
      </c>
    </row>
    <row r="14" spans="1:26" ht="15" customHeight="1" x14ac:dyDescent="0.25">
      <c r="A14" s="2" t="s">
        <v>37</v>
      </c>
      <c r="B14" s="2" t="s">
        <v>42</v>
      </c>
      <c r="C14" s="2" t="s">
        <v>372</v>
      </c>
      <c r="D14" s="2" t="s">
        <v>355</v>
      </c>
      <c r="E14" s="2" t="s">
        <v>356</v>
      </c>
      <c r="F14" s="2">
        <v>24</v>
      </c>
      <c r="G14" s="2">
        <v>600</v>
      </c>
      <c r="H14" s="2">
        <v>16</v>
      </c>
      <c r="I14" s="2">
        <v>400</v>
      </c>
      <c r="J14" s="2"/>
      <c r="K14" s="8">
        <v>343.93</v>
      </c>
      <c r="L14" s="2" t="s">
        <v>373</v>
      </c>
      <c r="M14" s="2" t="s">
        <v>358</v>
      </c>
      <c r="N14" s="2" t="s">
        <v>307</v>
      </c>
      <c r="O14" s="2"/>
      <c r="P14" s="2"/>
      <c r="Q14" s="2"/>
      <c r="R14" s="2"/>
      <c r="S14" s="8"/>
      <c r="T14" s="2"/>
      <c r="U14" s="2"/>
      <c r="V14" s="2" t="s">
        <v>358</v>
      </c>
      <c r="W14" s="2" t="s">
        <v>363</v>
      </c>
      <c r="X14" s="5">
        <v>46259</v>
      </c>
      <c r="Y14" s="2" t="s">
        <v>308</v>
      </c>
      <c r="Z14" s="2" t="s">
        <v>374</v>
      </c>
    </row>
    <row r="15" spans="1:26" ht="15" customHeight="1" x14ac:dyDescent="0.25">
      <c r="A15" s="2" t="s">
        <v>37</v>
      </c>
      <c r="B15" s="2" t="s">
        <v>45</v>
      </c>
      <c r="C15" s="2" t="s">
        <v>375</v>
      </c>
      <c r="D15" s="2" t="s">
        <v>376</v>
      </c>
      <c r="E15" s="2" t="s">
        <v>377</v>
      </c>
      <c r="F15" s="2">
        <v>22</v>
      </c>
      <c r="G15" s="2">
        <v>550</v>
      </c>
      <c r="H15" s="2">
        <v>18</v>
      </c>
      <c r="I15" s="2">
        <v>450</v>
      </c>
      <c r="J15" s="2"/>
      <c r="K15" s="8">
        <v>243.33</v>
      </c>
      <c r="L15" s="2" t="s">
        <v>378</v>
      </c>
      <c r="M15" s="2" t="s">
        <v>379</v>
      </c>
      <c r="N15" s="2" t="s">
        <v>307</v>
      </c>
      <c r="O15" s="2"/>
      <c r="P15" s="2"/>
      <c r="Q15" s="2"/>
      <c r="R15" s="2"/>
      <c r="S15" s="8"/>
      <c r="T15" s="2"/>
      <c r="U15" s="2"/>
      <c r="V15" s="2" t="s">
        <v>380</v>
      </c>
      <c r="W15" s="2" t="s">
        <v>381</v>
      </c>
      <c r="X15" s="5">
        <v>46259</v>
      </c>
      <c r="Y15" s="2" t="s">
        <v>308</v>
      </c>
      <c r="Z15" s="2" t="s">
        <v>382</v>
      </c>
    </row>
    <row r="16" spans="1:26" ht="15" customHeight="1" x14ac:dyDescent="0.25">
      <c r="A16" s="2" t="s">
        <v>37</v>
      </c>
      <c r="B16" s="2" t="s">
        <v>46</v>
      </c>
      <c r="C16" s="2" t="s">
        <v>383</v>
      </c>
      <c r="D16" s="2" t="s">
        <v>384</v>
      </c>
      <c r="E16" s="2" t="s">
        <v>332</v>
      </c>
      <c r="F16" s="2">
        <v>22</v>
      </c>
      <c r="G16" s="2">
        <v>550</v>
      </c>
      <c r="H16" s="2">
        <v>16</v>
      </c>
      <c r="I16" s="2">
        <v>400</v>
      </c>
      <c r="J16" s="2"/>
      <c r="K16" s="8">
        <v>190.89</v>
      </c>
      <c r="L16" s="2" t="s">
        <v>385</v>
      </c>
      <c r="M16" s="2" t="s">
        <v>386</v>
      </c>
      <c r="N16" s="2" t="s">
        <v>312</v>
      </c>
      <c r="O16" s="2" t="s">
        <v>387</v>
      </c>
      <c r="P16" s="2"/>
      <c r="Q16" s="2"/>
      <c r="R16" s="2"/>
      <c r="S16" s="8">
        <v>51.24</v>
      </c>
      <c r="T16" s="2" t="s">
        <v>388</v>
      </c>
      <c r="U16" s="2" t="s">
        <v>389</v>
      </c>
      <c r="V16" s="2" t="s">
        <v>386</v>
      </c>
      <c r="W16" s="2" t="s">
        <v>390</v>
      </c>
      <c r="X16" s="5">
        <v>46259</v>
      </c>
      <c r="Y16" s="2" t="s">
        <v>308</v>
      </c>
      <c r="Z16" s="2" t="s">
        <v>391</v>
      </c>
    </row>
    <row r="17" spans="1:26" ht="15" customHeight="1" x14ac:dyDescent="0.25">
      <c r="A17" s="2" t="s">
        <v>49</v>
      </c>
      <c r="B17" s="2" t="s">
        <v>50</v>
      </c>
      <c r="C17" s="2" t="s">
        <v>354</v>
      </c>
      <c r="D17" s="2" t="s">
        <v>392</v>
      </c>
      <c r="E17" s="2" t="s">
        <v>393</v>
      </c>
      <c r="F17" s="2">
        <v>24</v>
      </c>
      <c r="G17" s="2"/>
      <c r="H17" s="2"/>
      <c r="I17" s="2"/>
      <c r="J17" s="2"/>
      <c r="K17" s="8">
        <v>122.13</v>
      </c>
      <c r="L17" s="2" t="s">
        <v>394</v>
      </c>
      <c r="M17" s="2" t="s">
        <v>395</v>
      </c>
      <c r="N17" s="2" t="s">
        <v>312</v>
      </c>
      <c r="O17" s="2"/>
      <c r="P17" s="2"/>
      <c r="Q17" s="2"/>
      <c r="R17" s="2"/>
      <c r="S17" s="8"/>
      <c r="T17" s="2"/>
      <c r="U17" s="2"/>
      <c r="V17" s="2" t="s">
        <v>395</v>
      </c>
      <c r="W17" s="2" t="s">
        <v>396</v>
      </c>
      <c r="X17" s="5">
        <v>46259</v>
      </c>
      <c r="Y17" s="2" t="s">
        <v>308</v>
      </c>
      <c r="Z17" s="2" t="s">
        <v>397</v>
      </c>
    </row>
    <row r="18" spans="1:26" ht="15" customHeight="1" x14ac:dyDescent="0.25">
      <c r="A18" s="2" t="s">
        <v>49</v>
      </c>
      <c r="B18" s="2" t="s">
        <v>52</v>
      </c>
      <c r="C18" s="2" t="s">
        <v>398</v>
      </c>
      <c r="D18" s="2" t="s">
        <v>392</v>
      </c>
      <c r="E18" s="2" t="s">
        <v>393</v>
      </c>
      <c r="F18" s="2"/>
      <c r="G18" s="2"/>
      <c r="H18" s="2"/>
      <c r="I18" s="2"/>
      <c r="J18" s="2"/>
      <c r="K18" s="8">
        <v>122.13</v>
      </c>
      <c r="L18" s="2" t="s">
        <v>394</v>
      </c>
      <c r="M18" s="2" t="s">
        <v>399</v>
      </c>
      <c r="N18" s="2" t="s">
        <v>312</v>
      </c>
      <c r="O18" s="2"/>
      <c r="P18" s="2"/>
      <c r="Q18" s="2"/>
      <c r="R18" s="2"/>
      <c r="S18" s="8"/>
      <c r="T18" s="2"/>
      <c r="U18" s="2"/>
      <c r="V18" s="2" t="s">
        <v>399</v>
      </c>
      <c r="W18" s="2"/>
      <c r="X18" s="5">
        <v>46259</v>
      </c>
      <c r="Y18" s="2" t="s">
        <v>308</v>
      </c>
      <c r="Z18" s="2" t="s">
        <v>400</v>
      </c>
    </row>
    <row r="19" spans="1:26" ht="15" customHeight="1" x14ac:dyDescent="0.25">
      <c r="A19" s="2" t="s">
        <v>49</v>
      </c>
      <c r="B19" s="2" t="s">
        <v>53</v>
      </c>
      <c r="C19" s="2" t="s">
        <v>401</v>
      </c>
      <c r="D19" s="2"/>
      <c r="E19" s="2"/>
      <c r="F19" s="2"/>
      <c r="G19" s="2"/>
      <c r="H19" s="2"/>
      <c r="I19" s="2"/>
      <c r="J19" s="2"/>
      <c r="K19" s="8"/>
      <c r="L19" s="2"/>
      <c r="M19" s="2"/>
      <c r="N19" s="2" t="s">
        <v>307</v>
      </c>
      <c r="O19" s="2"/>
      <c r="P19" s="2"/>
      <c r="Q19" s="2"/>
      <c r="R19" s="2"/>
      <c r="S19" s="8"/>
      <c r="T19" s="2"/>
      <c r="U19" s="2"/>
      <c r="V19" s="2"/>
      <c r="W19" s="2"/>
      <c r="X19" s="5">
        <v>46259</v>
      </c>
      <c r="Y19" s="2" t="s">
        <v>344</v>
      </c>
      <c r="Z19" s="2" t="s">
        <v>402</v>
      </c>
    </row>
    <row r="20" spans="1:26" ht="15" customHeight="1" x14ac:dyDescent="0.25">
      <c r="A20" s="2" t="s">
        <v>49</v>
      </c>
      <c r="B20" s="2" t="s">
        <v>55</v>
      </c>
      <c r="C20" s="2" t="s">
        <v>403</v>
      </c>
      <c r="D20" s="2"/>
      <c r="E20" s="2"/>
      <c r="F20" s="2"/>
      <c r="G20" s="2"/>
      <c r="H20" s="2"/>
      <c r="I20" s="2"/>
      <c r="J20" s="2"/>
      <c r="K20" s="8"/>
      <c r="L20" s="2"/>
      <c r="M20" s="2"/>
      <c r="N20" s="2"/>
      <c r="O20" s="2"/>
      <c r="P20" s="2"/>
      <c r="Q20" s="2"/>
      <c r="R20" s="2"/>
      <c r="S20" s="8"/>
      <c r="T20" s="2"/>
      <c r="U20" s="2"/>
      <c r="V20" s="2" t="s">
        <v>404</v>
      </c>
      <c r="W20" s="2"/>
      <c r="X20" s="5">
        <v>46259</v>
      </c>
      <c r="Y20" s="2" t="s">
        <v>344</v>
      </c>
      <c r="Z20" s="2" t="s">
        <v>405</v>
      </c>
    </row>
    <row r="21" spans="1:26" ht="15" customHeight="1" x14ac:dyDescent="0.25">
      <c r="A21" s="2" t="s">
        <v>49</v>
      </c>
      <c r="B21" s="2" t="s">
        <v>57</v>
      </c>
      <c r="C21" s="2" t="s">
        <v>406</v>
      </c>
      <c r="D21" s="2"/>
      <c r="E21" s="2"/>
      <c r="F21" s="2"/>
      <c r="G21" s="2"/>
      <c r="H21" s="2"/>
      <c r="I21" s="2"/>
      <c r="J21" s="2"/>
      <c r="K21" s="8"/>
      <c r="L21" s="2"/>
      <c r="M21" s="2"/>
      <c r="N21" s="2" t="s">
        <v>307</v>
      </c>
      <c r="O21" s="2"/>
      <c r="P21" s="2"/>
      <c r="Q21" s="2"/>
      <c r="R21" s="2"/>
      <c r="S21" s="8"/>
      <c r="T21" s="2"/>
      <c r="U21" s="2"/>
      <c r="V21" s="2" t="s">
        <v>407</v>
      </c>
      <c r="W21" s="2"/>
      <c r="X21" s="5">
        <v>46259</v>
      </c>
      <c r="Y21" s="2" t="s">
        <v>344</v>
      </c>
      <c r="Z21" s="2" t="s">
        <v>408</v>
      </c>
    </row>
    <row r="22" spans="1:26" ht="15" customHeight="1" x14ac:dyDescent="0.25">
      <c r="A22" s="2" t="s">
        <v>60</v>
      </c>
      <c r="B22" s="2" t="s">
        <v>61</v>
      </c>
      <c r="C22" s="2" t="s">
        <v>409</v>
      </c>
      <c r="D22" s="2" t="s">
        <v>410</v>
      </c>
      <c r="E22" s="2" t="s">
        <v>351</v>
      </c>
      <c r="F22" s="2">
        <v>22</v>
      </c>
      <c r="G22" s="2">
        <v>550</v>
      </c>
      <c r="H22" s="2">
        <v>16</v>
      </c>
      <c r="I22" s="2">
        <v>400</v>
      </c>
      <c r="J22" s="2" t="s">
        <v>411</v>
      </c>
      <c r="K22" s="8"/>
      <c r="L22" s="2"/>
      <c r="M22" s="2"/>
      <c r="N22" s="2" t="s">
        <v>307</v>
      </c>
      <c r="O22" s="2"/>
      <c r="P22" s="2"/>
      <c r="Q22" s="2"/>
      <c r="R22" s="2"/>
      <c r="S22" s="8"/>
      <c r="T22" s="2"/>
      <c r="U22" s="2"/>
      <c r="V22" s="2" t="s">
        <v>412</v>
      </c>
      <c r="W22" s="2" t="s">
        <v>413</v>
      </c>
      <c r="X22" s="5">
        <v>46259</v>
      </c>
      <c r="Y22" s="2" t="s">
        <v>335</v>
      </c>
      <c r="Z22" s="2" t="s">
        <v>414</v>
      </c>
    </row>
    <row r="23" spans="1:26" ht="15" customHeight="1" x14ac:dyDescent="0.25">
      <c r="A23" s="2" t="s">
        <v>60</v>
      </c>
      <c r="B23" s="2" t="s">
        <v>63</v>
      </c>
      <c r="C23" s="2" t="s">
        <v>415</v>
      </c>
      <c r="D23" s="2"/>
      <c r="E23" s="2"/>
      <c r="F23" s="2">
        <v>26</v>
      </c>
      <c r="G23" s="2">
        <v>660</v>
      </c>
      <c r="H23" s="2">
        <v>16</v>
      </c>
      <c r="I23" s="2">
        <v>400</v>
      </c>
      <c r="J23" s="2" t="s">
        <v>411</v>
      </c>
      <c r="K23" s="8"/>
      <c r="L23" s="2"/>
      <c r="M23" s="2"/>
      <c r="N23" s="2" t="s">
        <v>312</v>
      </c>
      <c r="O23" s="2"/>
      <c r="P23" s="2">
        <v>12</v>
      </c>
      <c r="Q23" s="2">
        <v>300</v>
      </c>
      <c r="R23" s="2"/>
      <c r="S23" s="8"/>
      <c r="T23" s="2"/>
      <c r="U23" s="2"/>
      <c r="V23" s="2" t="s">
        <v>416</v>
      </c>
      <c r="W23" s="2" t="s">
        <v>416</v>
      </c>
      <c r="X23" s="5">
        <v>46259</v>
      </c>
      <c r="Y23" s="2" t="s">
        <v>417</v>
      </c>
      <c r="Z23" s="2" t="s">
        <v>418</v>
      </c>
    </row>
    <row r="24" spans="1:26" ht="15" customHeight="1" x14ac:dyDescent="0.25">
      <c r="A24" s="2" t="s">
        <v>60</v>
      </c>
      <c r="B24" s="2" t="s">
        <v>64</v>
      </c>
      <c r="C24" s="2" t="s">
        <v>419</v>
      </c>
      <c r="D24" s="2"/>
      <c r="E24" s="2"/>
      <c r="F24" s="2"/>
      <c r="G24" s="2"/>
      <c r="H24" s="2"/>
      <c r="I24" s="2"/>
      <c r="J24" s="2"/>
      <c r="K24" s="8"/>
      <c r="L24" s="2"/>
      <c r="M24" s="2"/>
      <c r="N24" s="2"/>
      <c r="O24" s="2"/>
      <c r="P24" s="2"/>
      <c r="Q24" s="2"/>
      <c r="R24" s="2"/>
      <c r="S24" s="8"/>
      <c r="T24" s="2"/>
      <c r="U24" s="2"/>
      <c r="V24" s="2" t="s">
        <v>420</v>
      </c>
      <c r="W24" s="2"/>
      <c r="X24" s="5">
        <v>46259</v>
      </c>
      <c r="Y24" s="2" t="s">
        <v>344</v>
      </c>
      <c r="Z24" s="2" t="s">
        <v>421</v>
      </c>
    </row>
    <row r="25" spans="1:26" ht="15" customHeight="1" x14ac:dyDescent="0.25">
      <c r="A25" s="2" t="s">
        <v>60</v>
      </c>
      <c r="B25" s="2" t="s">
        <v>66</v>
      </c>
      <c r="C25" s="2" t="s">
        <v>422</v>
      </c>
      <c r="D25" s="2"/>
      <c r="E25" s="2"/>
      <c r="F25" s="2">
        <v>28</v>
      </c>
      <c r="G25" s="2">
        <v>700</v>
      </c>
      <c r="H25" s="2">
        <v>14</v>
      </c>
      <c r="I25" s="2">
        <v>350</v>
      </c>
      <c r="J25" s="2" t="s">
        <v>411</v>
      </c>
      <c r="K25" s="8"/>
      <c r="L25" s="2"/>
      <c r="M25" s="2"/>
      <c r="N25" s="2" t="s">
        <v>307</v>
      </c>
      <c r="O25" s="2"/>
      <c r="P25" s="2"/>
      <c r="Q25" s="2"/>
      <c r="R25" s="2"/>
      <c r="S25" s="8"/>
      <c r="T25" s="2"/>
      <c r="U25" s="2"/>
      <c r="V25" s="2" t="s">
        <v>423</v>
      </c>
      <c r="W25" s="2" t="s">
        <v>423</v>
      </c>
      <c r="X25" s="5">
        <v>46259</v>
      </c>
      <c r="Y25" s="2" t="s">
        <v>417</v>
      </c>
      <c r="Z25" s="2" t="s">
        <v>424</v>
      </c>
    </row>
    <row r="26" spans="1:26" ht="15" customHeight="1" x14ac:dyDescent="0.25">
      <c r="A26" s="2" t="s">
        <v>60</v>
      </c>
      <c r="B26" s="2" t="s">
        <v>68</v>
      </c>
      <c r="C26" s="2" t="s">
        <v>425</v>
      </c>
      <c r="D26" s="2" t="s">
        <v>426</v>
      </c>
      <c r="E26" s="2" t="s">
        <v>351</v>
      </c>
      <c r="F26" s="2">
        <v>22</v>
      </c>
      <c r="G26" s="2">
        <v>550</v>
      </c>
      <c r="H26" s="2">
        <v>16</v>
      </c>
      <c r="I26" s="2">
        <v>400</v>
      </c>
      <c r="J26" s="2" t="s">
        <v>411</v>
      </c>
      <c r="K26" s="8"/>
      <c r="L26" s="2"/>
      <c r="M26" s="2"/>
      <c r="N26" s="2"/>
      <c r="O26" s="2"/>
      <c r="P26" s="2"/>
      <c r="Q26" s="2"/>
      <c r="R26" s="2"/>
      <c r="S26" s="8"/>
      <c r="T26" s="2"/>
      <c r="U26" s="2"/>
      <c r="V26" s="2" t="s">
        <v>427</v>
      </c>
      <c r="W26" s="2" t="s">
        <v>428</v>
      </c>
      <c r="X26" s="5">
        <v>46259</v>
      </c>
      <c r="Y26" s="2" t="s">
        <v>335</v>
      </c>
      <c r="Z26" s="2" t="s">
        <v>429</v>
      </c>
    </row>
    <row r="27" spans="1:26" ht="15" customHeight="1" x14ac:dyDescent="0.25">
      <c r="A27" s="2" t="s">
        <v>70</v>
      </c>
      <c r="B27" s="2" t="s">
        <v>71</v>
      </c>
      <c r="C27" s="2" t="s">
        <v>430</v>
      </c>
      <c r="D27" s="2" t="s">
        <v>431</v>
      </c>
      <c r="E27" s="2"/>
      <c r="F27" s="2">
        <v>23</v>
      </c>
      <c r="G27" s="2">
        <v>584</v>
      </c>
      <c r="H27" s="2"/>
      <c r="I27" s="2"/>
      <c r="J27" s="2"/>
      <c r="K27" s="8"/>
      <c r="L27" s="2"/>
      <c r="M27" s="2"/>
      <c r="N27" s="2"/>
      <c r="O27" s="2"/>
      <c r="P27" s="2"/>
      <c r="Q27" s="2"/>
      <c r="R27" s="2"/>
      <c r="S27" s="8"/>
      <c r="T27" s="2"/>
      <c r="U27" s="2"/>
      <c r="V27" s="2" t="s">
        <v>432</v>
      </c>
      <c r="W27" s="2" t="s">
        <v>432</v>
      </c>
      <c r="X27" s="5">
        <v>46259</v>
      </c>
      <c r="Y27" s="2" t="s">
        <v>335</v>
      </c>
      <c r="Z27" s="2" t="s">
        <v>433</v>
      </c>
    </row>
    <row r="28" spans="1:26" ht="15" customHeight="1" x14ac:dyDescent="0.25">
      <c r="A28" s="2" t="s">
        <v>70</v>
      </c>
      <c r="B28" s="2" t="s">
        <v>73</v>
      </c>
      <c r="C28" s="2" t="s">
        <v>434</v>
      </c>
      <c r="D28" s="2"/>
      <c r="E28" s="2"/>
      <c r="F28" s="2"/>
      <c r="G28" s="2"/>
      <c r="H28" s="2"/>
      <c r="I28" s="2"/>
      <c r="J28" s="2"/>
      <c r="K28" s="8"/>
      <c r="L28" s="2"/>
      <c r="M28" s="2"/>
      <c r="N28" s="2"/>
      <c r="O28" s="2"/>
      <c r="P28" s="2"/>
      <c r="Q28" s="2"/>
      <c r="R28" s="2"/>
      <c r="S28" s="8"/>
      <c r="T28" s="2"/>
      <c r="U28" s="2"/>
      <c r="V28" s="2"/>
      <c r="W28" s="2"/>
      <c r="X28" s="5">
        <v>46259</v>
      </c>
      <c r="Y28" s="2" t="s">
        <v>344</v>
      </c>
      <c r="Z28" s="2" t="s">
        <v>435</v>
      </c>
    </row>
    <row r="29" spans="1:26" ht="15" customHeight="1" x14ac:dyDescent="0.25">
      <c r="A29" s="2" t="s">
        <v>70</v>
      </c>
      <c r="B29" s="2" t="s">
        <v>75</v>
      </c>
      <c r="C29" s="2" t="s">
        <v>436</v>
      </c>
      <c r="D29" s="2"/>
      <c r="E29" s="2"/>
      <c r="F29" s="2">
        <v>21</v>
      </c>
      <c r="G29" s="2">
        <v>530</v>
      </c>
      <c r="H29" s="2">
        <v>16</v>
      </c>
      <c r="I29" s="2">
        <v>400</v>
      </c>
      <c r="J29" s="2"/>
      <c r="K29" s="8"/>
      <c r="L29" s="2"/>
      <c r="M29" s="2"/>
      <c r="N29" s="2" t="s">
        <v>312</v>
      </c>
      <c r="O29" s="2"/>
      <c r="P29" s="2"/>
      <c r="Q29" s="2"/>
      <c r="R29" s="2"/>
      <c r="S29" s="8"/>
      <c r="T29" s="2"/>
      <c r="U29" s="2"/>
      <c r="V29" s="2" t="s">
        <v>437</v>
      </c>
      <c r="W29" s="2" t="s">
        <v>437</v>
      </c>
      <c r="X29" s="5">
        <v>46259</v>
      </c>
      <c r="Y29" s="2" t="s">
        <v>417</v>
      </c>
      <c r="Z29" s="2" t="s">
        <v>438</v>
      </c>
    </row>
    <row r="30" spans="1:26" ht="15" customHeight="1" x14ac:dyDescent="0.25">
      <c r="A30" s="2" t="s">
        <v>70</v>
      </c>
      <c r="B30" s="2" t="s">
        <v>76</v>
      </c>
      <c r="C30" s="2" t="s">
        <v>434</v>
      </c>
      <c r="D30" s="2"/>
      <c r="E30" s="2"/>
      <c r="F30" s="2"/>
      <c r="G30" s="2"/>
      <c r="H30" s="2"/>
      <c r="I30" s="2"/>
      <c r="J30" s="2"/>
      <c r="K30" s="8"/>
      <c r="L30" s="2"/>
      <c r="M30" s="2"/>
      <c r="N30" s="2"/>
      <c r="O30" s="2"/>
      <c r="P30" s="2"/>
      <c r="Q30" s="2"/>
      <c r="R30" s="2"/>
      <c r="S30" s="8"/>
      <c r="T30" s="2"/>
      <c r="U30" s="2"/>
      <c r="V30" s="2"/>
      <c r="W30" s="2"/>
      <c r="X30" s="5">
        <v>46259</v>
      </c>
      <c r="Y30" s="2" t="s">
        <v>344</v>
      </c>
      <c r="Z30" s="2" t="s">
        <v>439</v>
      </c>
    </row>
    <row r="31" spans="1:26" ht="15" customHeight="1" x14ac:dyDescent="0.25">
      <c r="A31" s="2" t="s">
        <v>70</v>
      </c>
      <c r="B31" s="2" t="s">
        <v>78</v>
      </c>
      <c r="C31" s="2" t="s">
        <v>440</v>
      </c>
      <c r="D31" s="2"/>
      <c r="E31" s="2"/>
      <c r="F31" s="2">
        <v>26</v>
      </c>
      <c r="G31" s="2">
        <v>660</v>
      </c>
      <c r="H31" s="2">
        <v>26</v>
      </c>
      <c r="I31" s="2">
        <v>660</v>
      </c>
      <c r="J31" s="2"/>
      <c r="K31" s="8"/>
      <c r="L31" s="2"/>
      <c r="M31" s="2"/>
      <c r="N31" s="2"/>
      <c r="O31" s="2"/>
      <c r="P31" s="2"/>
      <c r="Q31" s="2"/>
      <c r="R31" s="2"/>
      <c r="S31" s="8"/>
      <c r="T31" s="2"/>
      <c r="U31" s="2"/>
      <c r="V31" s="2" t="s">
        <v>441</v>
      </c>
      <c r="W31" s="2" t="s">
        <v>442</v>
      </c>
      <c r="X31" s="5">
        <v>46259</v>
      </c>
      <c r="Y31" s="2" t="s">
        <v>417</v>
      </c>
      <c r="Z31" s="2" t="s">
        <v>443</v>
      </c>
    </row>
    <row r="32" spans="1:26" ht="15" customHeight="1" x14ac:dyDescent="0.25">
      <c r="A32" s="2" t="s">
        <v>80</v>
      </c>
      <c r="B32" s="2" t="s">
        <v>81</v>
      </c>
      <c r="C32" s="2" t="s">
        <v>444</v>
      </c>
      <c r="D32" s="2" t="s">
        <v>323</v>
      </c>
      <c r="E32" s="2" t="s">
        <v>445</v>
      </c>
      <c r="F32" s="2">
        <v>24</v>
      </c>
      <c r="G32" s="2">
        <v>610</v>
      </c>
      <c r="H32" s="2">
        <v>17</v>
      </c>
      <c r="I32" s="2">
        <v>432</v>
      </c>
      <c r="J32" s="2" t="s">
        <v>411</v>
      </c>
      <c r="K32" s="8"/>
      <c r="L32" s="2" t="s">
        <v>446</v>
      </c>
      <c r="M32" s="2" t="s">
        <v>447</v>
      </c>
      <c r="N32" s="2" t="s">
        <v>312</v>
      </c>
      <c r="O32" s="2" t="s">
        <v>448</v>
      </c>
      <c r="P32" s="2">
        <v>10</v>
      </c>
      <c r="Q32" s="2">
        <v>254</v>
      </c>
      <c r="R32" s="2"/>
      <c r="S32" s="8"/>
      <c r="T32" s="2"/>
      <c r="U32" s="2"/>
      <c r="V32" s="2" t="s">
        <v>447</v>
      </c>
      <c r="W32" s="2" t="s">
        <v>449</v>
      </c>
      <c r="X32" s="5">
        <v>46259</v>
      </c>
      <c r="Y32" s="2" t="s">
        <v>335</v>
      </c>
      <c r="Z32" s="2" t="s">
        <v>450</v>
      </c>
    </row>
    <row r="33" spans="1:26" ht="15" customHeight="1" x14ac:dyDescent="0.25">
      <c r="A33" s="2" t="s">
        <v>80</v>
      </c>
      <c r="B33" s="2" t="s">
        <v>83</v>
      </c>
      <c r="C33" s="2" t="s">
        <v>451</v>
      </c>
      <c r="D33" s="2" t="s">
        <v>452</v>
      </c>
      <c r="E33" s="2" t="s">
        <v>445</v>
      </c>
      <c r="F33" s="2"/>
      <c r="G33" s="2"/>
      <c r="H33" s="2"/>
      <c r="I33" s="2"/>
      <c r="J33" s="2"/>
      <c r="K33" s="8"/>
      <c r="L33" s="2" t="s">
        <v>453</v>
      </c>
      <c r="M33" s="2" t="s">
        <v>454</v>
      </c>
      <c r="N33" s="2" t="s">
        <v>312</v>
      </c>
      <c r="O33" s="2" t="s">
        <v>455</v>
      </c>
      <c r="P33" s="2"/>
      <c r="Q33" s="2"/>
      <c r="R33" s="2"/>
      <c r="S33" s="8"/>
      <c r="T33" s="2"/>
      <c r="U33" s="2"/>
      <c r="V33" s="2" t="s">
        <v>454</v>
      </c>
      <c r="W33" s="2" t="s">
        <v>456</v>
      </c>
      <c r="X33" s="5">
        <v>46259</v>
      </c>
      <c r="Y33" s="2" t="s">
        <v>335</v>
      </c>
      <c r="Z33" s="2" t="s">
        <v>457</v>
      </c>
    </row>
    <row r="34" spans="1:26" ht="15" customHeight="1" x14ac:dyDescent="0.25">
      <c r="A34" s="2" t="s">
        <v>80</v>
      </c>
      <c r="B34" s="2" t="s">
        <v>84</v>
      </c>
      <c r="C34" s="2" t="s">
        <v>458</v>
      </c>
      <c r="D34" s="2" t="s">
        <v>323</v>
      </c>
      <c r="E34" s="2" t="s">
        <v>445</v>
      </c>
      <c r="F34" s="2">
        <v>24</v>
      </c>
      <c r="G34" s="2">
        <v>610</v>
      </c>
      <c r="H34" s="2">
        <v>18</v>
      </c>
      <c r="I34" s="2">
        <v>457</v>
      </c>
      <c r="J34" s="2" t="s">
        <v>411</v>
      </c>
      <c r="K34" s="8"/>
      <c r="L34" s="2" t="s">
        <v>459</v>
      </c>
      <c r="M34" s="2" t="s">
        <v>447</v>
      </c>
      <c r="N34" s="2" t="s">
        <v>312</v>
      </c>
      <c r="O34" s="2"/>
      <c r="P34" s="2"/>
      <c r="Q34" s="2"/>
      <c r="R34" s="2"/>
      <c r="S34" s="8"/>
      <c r="T34" s="2"/>
      <c r="U34" s="2"/>
      <c r="V34" s="2" t="s">
        <v>447</v>
      </c>
      <c r="W34" s="2" t="s">
        <v>460</v>
      </c>
      <c r="X34" s="5">
        <v>46259</v>
      </c>
      <c r="Y34" s="2" t="s">
        <v>335</v>
      </c>
      <c r="Z34" s="2" t="s">
        <v>461</v>
      </c>
    </row>
    <row r="35" spans="1:26" ht="15" customHeight="1" x14ac:dyDescent="0.25">
      <c r="A35" s="2" t="s">
        <v>85</v>
      </c>
      <c r="B35" s="2" t="s">
        <v>86</v>
      </c>
      <c r="C35" s="2" t="s">
        <v>462</v>
      </c>
      <c r="D35" s="2"/>
      <c r="E35" s="2"/>
      <c r="F35" s="2">
        <v>26</v>
      </c>
      <c r="G35" s="2">
        <v>660</v>
      </c>
      <c r="H35" s="2"/>
      <c r="I35" s="2"/>
      <c r="J35" s="2"/>
      <c r="K35" s="8"/>
      <c r="L35" s="2"/>
      <c r="M35" s="2"/>
      <c r="N35" s="2" t="s">
        <v>312</v>
      </c>
      <c r="O35" s="2"/>
      <c r="P35" s="2"/>
      <c r="Q35" s="2"/>
      <c r="R35" s="2"/>
      <c r="S35" s="8"/>
      <c r="T35" s="2"/>
      <c r="U35" s="2"/>
      <c r="V35" s="2" t="s">
        <v>463</v>
      </c>
      <c r="W35" s="2" t="s">
        <v>464</v>
      </c>
      <c r="X35" s="5">
        <v>46259</v>
      </c>
      <c r="Y35" s="2" t="s">
        <v>417</v>
      </c>
      <c r="Z35" s="2" t="s">
        <v>465</v>
      </c>
    </row>
    <row r="36" spans="1:26" ht="15" customHeight="1" x14ac:dyDescent="0.25">
      <c r="A36" s="2" t="s">
        <v>85</v>
      </c>
      <c r="B36" s="2" t="s">
        <v>88</v>
      </c>
      <c r="C36" s="2" t="s">
        <v>466</v>
      </c>
      <c r="D36" s="2"/>
      <c r="E36" s="2"/>
      <c r="F36" s="2">
        <v>25</v>
      </c>
      <c r="G36" s="2">
        <v>635</v>
      </c>
      <c r="H36" s="2">
        <v>17</v>
      </c>
      <c r="I36" s="2">
        <v>432</v>
      </c>
      <c r="J36" s="2"/>
      <c r="K36" s="8"/>
      <c r="L36" s="2"/>
      <c r="M36" s="2"/>
      <c r="N36" s="2" t="s">
        <v>312</v>
      </c>
      <c r="O36" s="2"/>
      <c r="P36" s="2">
        <v>10</v>
      </c>
      <c r="Q36" s="2">
        <v>254</v>
      </c>
      <c r="R36" s="2"/>
      <c r="S36" s="8"/>
      <c r="T36" s="2"/>
      <c r="U36" s="2"/>
      <c r="V36" s="2" t="s">
        <v>463</v>
      </c>
      <c r="W36" s="2" t="s">
        <v>467</v>
      </c>
      <c r="X36" s="5">
        <v>46259</v>
      </c>
      <c r="Y36" s="2" t="s">
        <v>417</v>
      </c>
      <c r="Z36" s="2" t="s">
        <v>468</v>
      </c>
    </row>
    <row r="37" spans="1:26" ht="15" customHeight="1" x14ac:dyDescent="0.25">
      <c r="A37" s="2" t="s">
        <v>85</v>
      </c>
      <c r="B37" s="2" t="s">
        <v>90</v>
      </c>
      <c r="C37" s="2" t="s">
        <v>469</v>
      </c>
      <c r="D37" s="2"/>
      <c r="E37" s="2"/>
      <c r="F37" s="2">
        <v>26</v>
      </c>
      <c r="G37" s="2">
        <v>660</v>
      </c>
      <c r="H37" s="2">
        <v>14</v>
      </c>
      <c r="I37" s="2">
        <v>356</v>
      </c>
      <c r="J37" s="2"/>
      <c r="K37" s="8"/>
      <c r="L37" s="2"/>
      <c r="M37" s="2"/>
      <c r="N37" s="2" t="s">
        <v>312</v>
      </c>
      <c r="O37" s="2"/>
      <c r="P37" s="2"/>
      <c r="Q37" s="2"/>
      <c r="R37" s="2"/>
      <c r="S37" s="8"/>
      <c r="T37" s="2"/>
      <c r="U37" s="2"/>
      <c r="V37" s="2" t="s">
        <v>463</v>
      </c>
      <c r="W37" s="2" t="s">
        <v>470</v>
      </c>
      <c r="X37" s="5">
        <v>46259</v>
      </c>
      <c r="Y37" s="2" t="s">
        <v>417</v>
      </c>
      <c r="Z37" s="2" t="s">
        <v>471</v>
      </c>
    </row>
    <row r="38" spans="1:26" ht="15" customHeight="1" x14ac:dyDescent="0.25">
      <c r="A38" s="2" t="s">
        <v>85</v>
      </c>
      <c r="B38" s="2" t="s">
        <v>91</v>
      </c>
      <c r="C38" s="2" t="s">
        <v>472</v>
      </c>
      <c r="D38" s="2"/>
      <c r="E38" s="2"/>
      <c r="F38" s="2"/>
      <c r="G38" s="2"/>
      <c r="H38" s="2"/>
      <c r="I38" s="2"/>
      <c r="J38" s="2"/>
      <c r="K38" s="8"/>
      <c r="L38" s="2"/>
      <c r="M38" s="2"/>
      <c r="N38" s="2" t="s">
        <v>307</v>
      </c>
      <c r="O38" s="2"/>
      <c r="P38" s="2"/>
      <c r="Q38" s="2"/>
      <c r="R38" s="2"/>
      <c r="S38" s="8"/>
      <c r="T38" s="2"/>
      <c r="U38" s="2"/>
      <c r="V38" s="2" t="s">
        <v>463</v>
      </c>
      <c r="W38" s="2"/>
      <c r="X38" s="5">
        <v>46259</v>
      </c>
      <c r="Y38" s="2" t="s">
        <v>344</v>
      </c>
      <c r="Z38" s="2" t="s">
        <v>473</v>
      </c>
    </row>
    <row r="39" spans="1:26" ht="15" customHeight="1" x14ac:dyDescent="0.25">
      <c r="A39" s="2" t="s">
        <v>85</v>
      </c>
      <c r="B39" s="2" t="s">
        <v>92</v>
      </c>
      <c r="C39" s="2" t="s">
        <v>474</v>
      </c>
      <c r="D39" s="2"/>
      <c r="E39" s="2"/>
      <c r="F39" s="2">
        <v>24</v>
      </c>
      <c r="G39" s="2">
        <v>610</v>
      </c>
      <c r="H39" s="2">
        <v>17</v>
      </c>
      <c r="I39" s="2">
        <v>432</v>
      </c>
      <c r="J39" s="2"/>
      <c r="K39" s="8"/>
      <c r="L39" s="2"/>
      <c r="M39" s="2"/>
      <c r="N39" s="2" t="s">
        <v>312</v>
      </c>
      <c r="O39" s="2"/>
      <c r="P39" s="2">
        <v>12</v>
      </c>
      <c r="Q39" s="2">
        <v>305</v>
      </c>
      <c r="R39" s="2"/>
      <c r="S39" s="8"/>
      <c r="T39" s="2"/>
      <c r="U39" s="2"/>
      <c r="V39" s="2" t="s">
        <v>463</v>
      </c>
      <c r="W39" s="2" t="s">
        <v>475</v>
      </c>
      <c r="X39" s="5">
        <v>46259</v>
      </c>
      <c r="Y39" s="2" t="s">
        <v>417</v>
      </c>
      <c r="Z39" s="2" t="s">
        <v>476</v>
      </c>
    </row>
    <row r="40" spans="1:26" ht="15" customHeight="1" x14ac:dyDescent="0.25">
      <c r="A40" s="2" t="s">
        <v>93</v>
      </c>
      <c r="B40" s="2" t="s">
        <v>94</v>
      </c>
      <c r="C40" s="2" t="s">
        <v>477</v>
      </c>
      <c r="D40" s="2"/>
      <c r="E40" s="2"/>
      <c r="F40" s="2"/>
      <c r="G40" s="2"/>
      <c r="H40" s="2"/>
      <c r="I40" s="2"/>
      <c r="J40" s="2"/>
      <c r="K40" s="8"/>
      <c r="L40" s="2"/>
      <c r="M40" s="2"/>
      <c r="N40" s="2" t="s">
        <v>312</v>
      </c>
      <c r="O40" s="2"/>
      <c r="P40" s="2"/>
      <c r="Q40" s="2"/>
      <c r="R40" s="2"/>
      <c r="S40" s="8"/>
      <c r="T40" s="2"/>
      <c r="U40" s="2"/>
      <c r="V40" s="2" t="s">
        <v>478</v>
      </c>
      <c r="W40" s="2"/>
      <c r="X40" s="5">
        <v>46259</v>
      </c>
      <c r="Y40" s="2" t="s">
        <v>344</v>
      </c>
      <c r="Z40" s="2" t="s">
        <v>479</v>
      </c>
    </row>
    <row r="41" spans="1:26" ht="15" customHeight="1" x14ac:dyDescent="0.25">
      <c r="A41" s="2" t="s">
        <v>93</v>
      </c>
      <c r="B41" s="2" t="s">
        <v>96</v>
      </c>
      <c r="C41" s="2" t="s">
        <v>480</v>
      </c>
      <c r="D41" s="2"/>
      <c r="E41" s="2"/>
      <c r="F41" s="2"/>
      <c r="G41" s="2"/>
      <c r="H41" s="2"/>
      <c r="I41" s="2"/>
      <c r="J41" s="2"/>
      <c r="K41" s="8"/>
      <c r="L41" s="2"/>
      <c r="M41" s="2"/>
      <c r="N41" s="2"/>
      <c r="O41" s="2"/>
      <c r="P41" s="2"/>
      <c r="Q41" s="2"/>
      <c r="R41" s="2"/>
      <c r="S41" s="8"/>
      <c r="T41" s="2"/>
      <c r="U41" s="2"/>
      <c r="V41" s="2" t="s">
        <v>481</v>
      </c>
      <c r="W41" s="2"/>
      <c r="X41" s="5">
        <v>46259</v>
      </c>
      <c r="Y41" s="2" t="s">
        <v>344</v>
      </c>
      <c r="Z41" s="2" t="s">
        <v>482</v>
      </c>
    </row>
    <row r="42" spans="1:26" ht="15" customHeight="1" x14ac:dyDescent="0.25">
      <c r="A42" s="2" t="s">
        <v>93</v>
      </c>
      <c r="B42" s="2" t="s">
        <v>98</v>
      </c>
      <c r="C42" s="2" t="s">
        <v>483</v>
      </c>
      <c r="D42" s="2"/>
      <c r="E42" s="2"/>
      <c r="F42" s="2"/>
      <c r="G42" s="2"/>
      <c r="H42" s="2"/>
      <c r="I42" s="2"/>
      <c r="J42" s="2"/>
      <c r="K42" s="8"/>
      <c r="L42" s="2"/>
      <c r="M42" s="2"/>
      <c r="N42" s="2" t="s">
        <v>307</v>
      </c>
      <c r="O42" s="2"/>
      <c r="P42" s="2"/>
      <c r="Q42" s="2"/>
      <c r="R42" s="2"/>
      <c r="S42" s="8"/>
      <c r="T42" s="2"/>
      <c r="U42" s="2"/>
      <c r="V42" s="2" t="s">
        <v>484</v>
      </c>
      <c r="W42" s="2"/>
      <c r="X42" s="5">
        <v>46259</v>
      </c>
      <c r="Y42" s="2" t="s">
        <v>344</v>
      </c>
      <c r="Z42" s="2" t="s">
        <v>485</v>
      </c>
    </row>
    <row r="43" spans="1:26" ht="15" customHeight="1" x14ac:dyDescent="0.25">
      <c r="A43" s="2" t="s">
        <v>93</v>
      </c>
      <c r="B43" s="2" t="s">
        <v>100</v>
      </c>
      <c r="C43" s="2" t="s">
        <v>486</v>
      </c>
      <c r="D43" s="2"/>
      <c r="E43" s="2"/>
      <c r="F43" s="2"/>
      <c r="G43" s="2"/>
      <c r="H43" s="2"/>
      <c r="I43" s="2"/>
      <c r="J43" s="2"/>
      <c r="K43" s="8"/>
      <c r="L43" s="2"/>
      <c r="M43" s="2"/>
      <c r="N43" s="2"/>
      <c r="O43" s="2"/>
      <c r="P43" s="2"/>
      <c r="Q43" s="2"/>
      <c r="R43" s="2"/>
      <c r="S43" s="8"/>
      <c r="T43" s="2"/>
      <c r="U43" s="2"/>
      <c r="V43" s="2" t="s">
        <v>484</v>
      </c>
      <c r="W43" s="2"/>
      <c r="X43" s="5">
        <v>46259</v>
      </c>
      <c r="Y43" s="2" t="s">
        <v>344</v>
      </c>
      <c r="Z43" s="2" t="s">
        <v>487</v>
      </c>
    </row>
    <row r="44" spans="1:26" ht="15" customHeight="1" x14ac:dyDescent="0.25">
      <c r="A44" s="2" t="s">
        <v>93</v>
      </c>
      <c r="B44" s="2" t="s">
        <v>102</v>
      </c>
      <c r="C44" s="2" t="s">
        <v>434</v>
      </c>
      <c r="D44" s="2"/>
      <c r="E44" s="2"/>
      <c r="F44" s="2"/>
      <c r="G44" s="2"/>
      <c r="H44" s="2"/>
      <c r="I44" s="2"/>
      <c r="J44" s="2"/>
      <c r="K44" s="8"/>
      <c r="L44" s="2"/>
      <c r="M44" s="2"/>
      <c r="N44" s="2" t="s">
        <v>307</v>
      </c>
      <c r="O44" s="2"/>
      <c r="P44" s="2"/>
      <c r="Q44" s="2"/>
      <c r="R44" s="2"/>
      <c r="S44" s="8"/>
      <c r="T44" s="2"/>
      <c r="U44" s="2"/>
      <c r="V44" s="2"/>
      <c r="W44" s="2"/>
      <c r="X44" s="5">
        <v>46259</v>
      </c>
      <c r="Y44" s="2" t="s">
        <v>344</v>
      </c>
      <c r="Z44" s="2" t="s">
        <v>488</v>
      </c>
    </row>
    <row r="45" spans="1:26" ht="15" customHeight="1" x14ac:dyDescent="0.25">
      <c r="A45" s="2" t="s">
        <v>104</v>
      </c>
      <c r="B45" s="2" t="s">
        <v>105</v>
      </c>
      <c r="C45" s="2" t="s">
        <v>489</v>
      </c>
      <c r="D45" s="2"/>
      <c r="E45" s="2"/>
      <c r="F45" s="2"/>
      <c r="G45" s="2"/>
      <c r="H45" s="2"/>
      <c r="I45" s="2"/>
      <c r="J45" s="2"/>
      <c r="K45" s="8"/>
      <c r="L45" s="2"/>
      <c r="M45" s="2"/>
      <c r="N45" s="2"/>
      <c r="O45" s="2"/>
      <c r="P45" s="2"/>
      <c r="Q45" s="2"/>
      <c r="R45" s="2"/>
      <c r="S45" s="8"/>
      <c r="T45" s="2"/>
      <c r="U45" s="2"/>
      <c r="V45" s="2" t="s">
        <v>490</v>
      </c>
      <c r="W45" s="2"/>
      <c r="X45" s="5">
        <v>46259</v>
      </c>
      <c r="Y45" s="2" t="s">
        <v>344</v>
      </c>
      <c r="Z45" s="2" t="s">
        <v>491</v>
      </c>
    </row>
    <row r="46" spans="1:26" ht="15" customHeight="1" x14ac:dyDescent="0.25">
      <c r="A46" s="2" t="s">
        <v>104</v>
      </c>
      <c r="B46" s="2" t="s">
        <v>107</v>
      </c>
      <c r="C46" s="2" t="s">
        <v>492</v>
      </c>
      <c r="D46" s="2"/>
      <c r="E46" s="2"/>
      <c r="F46" s="2"/>
      <c r="G46" s="2"/>
      <c r="H46" s="2"/>
      <c r="I46" s="2"/>
      <c r="J46" s="2"/>
      <c r="K46" s="8"/>
      <c r="L46" s="2"/>
      <c r="M46" s="2"/>
      <c r="N46" s="2"/>
      <c r="O46" s="2"/>
      <c r="P46" s="2"/>
      <c r="Q46" s="2"/>
      <c r="R46" s="2"/>
      <c r="S46" s="8"/>
      <c r="T46" s="2"/>
      <c r="U46" s="2"/>
      <c r="V46" s="2" t="s">
        <v>493</v>
      </c>
      <c r="W46" s="2"/>
      <c r="X46" s="5">
        <v>46259</v>
      </c>
      <c r="Y46" s="2" t="s">
        <v>344</v>
      </c>
      <c r="Z46" s="2" t="s">
        <v>494</v>
      </c>
    </row>
    <row r="47" spans="1:26" ht="15" customHeight="1" x14ac:dyDescent="0.25">
      <c r="A47" s="2" t="s">
        <v>104</v>
      </c>
      <c r="B47" s="2" t="s">
        <v>109</v>
      </c>
      <c r="C47" s="2" t="s">
        <v>495</v>
      </c>
      <c r="D47" s="2"/>
      <c r="E47" s="2"/>
      <c r="F47" s="2"/>
      <c r="G47" s="2"/>
      <c r="H47" s="2"/>
      <c r="I47" s="2"/>
      <c r="J47" s="2"/>
      <c r="K47" s="8"/>
      <c r="L47" s="2"/>
      <c r="M47" s="2"/>
      <c r="N47" s="2" t="s">
        <v>307</v>
      </c>
      <c r="O47" s="2"/>
      <c r="P47" s="2"/>
      <c r="Q47" s="2"/>
      <c r="R47" s="2"/>
      <c r="S47" s="8"/>
      <c r="T47" s="2"/>
      <c r="U47" s="2"/>
      <c r="V47" s="2" t="s">
        <v>496</v>
      </c>
      <c r="W47" s="2"/>
      <c r="X47" s="5">
        <v>46259</v>
      </c>
      <c r="Y47" s="2" t="s">
        <v>344</v>
      </c>
      <c r="Z47" s="2" t="s">
        <v>497</v>
      </c>
    </row>
    <row r="48" spans="1:26" ht="15" customHeight="1" x14ac:dyDescent="0.25">
      <c r="A48" s="2" t="s">
        <v>104</v>
      </c>
      <c r="B48" s="2" t="s">
        <v>111</v>
      </c>
      <c r="C48" s="2" t="s">
        <v>498</v>
      </c>
      <c r="D48" s="2"/>
      <c r="E48" s="2"/>
      <c r="F48" s="2">
        <v>24</v>
      </c>
      <c r="G48" s="2">
        <v>600</v>
      </c>
      <c r="H48" s="2">
        <v>18</v>
      </c>
      <c r="I48" s="2">
        <v>450</v>
      </c>
      <c r="J48" s="2" t="s">
        <v>411</v>
      </c>
      <c r="K48" s="8"/>
      <c r="L48" s="2"/>
      <c r="M48" s="2"/>
      <c r="N48" s="2" t="s">
        <v>307</v>
      </c>
      <c r="O48" s="2"/>
      <c r="P48" s="2"/>
      <c r="Q48" s="2"/>
      <c r="R48" s="2"/>
      <c r="S48" s="8"/>
      <c r="T48" s="2"/>
      <c r="U48" s="2"/>
      <c r="V48" s="2" t="s">
        <v>496</v>
      </c>
      <c r="W48" s="2" t="s">
        <v>499</v>
      </c>
      <c r="X48" s="5">
        <v>46259</v>
      </c>
      <c r="Y48" s="2" t="s">
        <v>417</v>
      </c>
      <c r="Z48" s="2" t="s">
        <v>500</v>
      </c>
    </row>
    <row r="49" spans="1:26" ht="15" customHeight="1" x14ac:dyDescent="0.25">
      <c r="A49" s="2" t="s">
        <v>104</v>
      </c>
      <c r="B49" s="2" t="s">
        <v>112</v>
      </c>
      <c r="C49" s="2" t="s">
        <v>501</v>
      </c>
      <c r="D49" s="2"/>
      <c r="E49" s="2"/>
      <c r="F49" s="2"/>
      <c r="G49" s="2"/>
      <c r="H49" s="2"/>
      <c r="I49" s="2"/>
      <c r="J49" s="2"/>
      <c r="K49" s="8"/>
      <c r="L49" s="2"/>
      <c r="M49" s="2"/>
      <c r="N49" s="2" t="s">
        <v>307</v>
      </c>
      <c r="O49" s="2"/>
      <c r="P49" s="2"/>
      <c r="Q49" s="2"/>
      <c r="R49" s="2"/>
      <c r="S49" s="8"/>
      <c r="T49" s="2"/>
      <c r="U49" s="2"/>
      <c r="V49" s="2" t="s">
        <v>496</v>
      </c>
      <c r="W49" s="2"/>
      <c r="X49" s="5">
        <v>46259</v>
      </c>
      <c r="Y49" s="2" t="s">
        <v>344</v>
      </c>
      <c r="Z49" s="2" t="s">
        <v>502</v>
      </c>
    </row>
    <row r="50" spans="1:26" ht="15" customHeight="1" x14ac:dyDescent="0.25">
      <c r="A50" s="2" t="s">
        <v>113</v>
      </c>
      <c r="B50" s="2" t="s">
        <v>114</v>
      </c>
      <c r="C50" s="2" t="s">
        <v>503</v>
      </c>
      <c r="D50" s="2" t="s">
        <v>504</v>
      </c>
      <c r="E50" s="2" t="s">
        <v>351</v>
      </c>
      <c r="F50" s="2"/>
      <c r="G50" s="2"/>
      <c r="H50" s="2"/>
      <c r="I50" s="2"/>
      <c r="J50" s="2"/>
      <c r="K50" s="8"/>
      <c r="L50" s="2"/>
      <c r="M50" s="2"/>
      <c r="N50" s="2" t="s">
        <v>312</v>
      </c>
      <c r="O50" s="2"/>
      <c r="P50" s="2">
        <v>8</v>
      </c>
      <c r="Q50" s="2">
        <v>203</v>
      </c>
      <c r="R50" s="2"/>
      <c r="S50" s="8"/>
      <c r="T50" s="2"/>
      <c r="U50" s="2"/>
      <c r="V50" s="2" t="s">
        <v>505</v>
      </c>
      <c r="W50" s="2" t="s">
        <v>505</v>
      </c>
      <c r="X50" s="5">
        <v>46259</v>
      </c>
      <c r="Y50" s="2" t="s">
        <v>335</v>
      </c>
      <c r="Z50" s="2" t="s">
        <v>506</v>
      </c>
    </row>
    <row r="51" spans="1:26" ht="15" customHeight="1" x14ac:dyDescent="0.25">
      <c r="A51" s="2" t="s">
        <v>113</v>
      </c>
      <c r="B51" s="2" t="s">
        <v>116</v>
      </c>
      <c r="C51" s="2" t="s">
        <v>507</v>
      </c>
      <c r="D51" s="2" t="s">
        <v>504</v>
      </c>
      <c r="E51" s="2" t="s">
        <v>351</v>
      </c>
      <c r="F51" s="2"/>
      <c r="G51" s="2"/>
      <c r="H51" s="2"/>
      <c r="I51" s="2"/>
      <c r="J51" s="2"/>
      <c r="K51" s="8"/>
      <c r="L51" s="2"/>
      <c r="M51" s="2"/>
      <c r="N51" s="2" t="s">
        <v>312</v>
      </c>
      <c r="O51" s="2"/>
      <c r="P51" s="2">
        <v>9</v>
      </c>
      <c r="Q51" s="2">
        <v>229</v>
      </c>
      <c r="R51" s="2"/>
      <c r="S51" s="8"/>
      <c r="T51" s="2"/>
      <c r="U51" s="2"/>
      <c r="V51" s="2" t="s">
        <v>508</v>
      </c>
      <c r="W51" s="2" t="s">
        <v>508</v>
      </c>
      <c r="X51" s="5">
        <v>46259</v>
      </c>
      <c r="Y51" s="2" t="s">
        <v>335</v>
      </c>
      <c r="Z51" s="2" t="s">
        <v>509</v>
      </c>
    </row>
    <row r="52" spans="1:26" ht="15" customHeight="1" x14ac:dyDescent="0.25">
      <c r="A52" s="2" t="s">
        <v>113</v>
      </c>
      <c r="B52" s="2" t="s">
        <v>117</v>
      </c>
      <c r="C52" s="2" t="s">
        <v>510</v>
      </c>
      <c r="D52" s="2" t="s">
        <v>504</v>
      </c>
      <c r="E52" s="2" t="s">
        <v>351</v>
      </c>
      <c r="F52" s="2"/>
      <c r="G52" s="2"/>
      <c r="H52" s="2"/>
      <c r="I52" s="2"/>
      <c r="J52" s="2"/>
      <c r="K52" s="8"/>
      <c r="L52" s="2"/>
      <c r="M52" s="2"/>
      <c r="N52" s="2" t="s">
        <v>312</v>
      </c>
      <c r="O52" s="2"/>
      <c r="P52" s="2">
        <v>9</v>
      </c>
      <c r="Q52" s="2">
        <v>229</v>
      </c>
      <c r="R52" s="2"/>
      <c r="S52" s="8"/>
      <c r="T52" s="2"/>
      <c r="U52" s="2"/>
      <c r="V52" s="2" t="s">
        <v>508</v>
      </c>
      <c r="W52" s="2" t="s">
        <v>508</v>
      </c>
      <c r="X52" s="5">
        <v>46259</v>
      </c>
      <c r="Y52" s="2" t="s">
        <v>335</v>
      </c>
      <c r="Z52" s="2" t="s">
        <v>511</v>
      </c>
    </row>
    <row r="53" spans="1:26" ht="15" customHeight="1" x14ac:dyDescent="0.25">
      <c r="A53" s="2" t="s">
        <v>113</v>
      </c>
      <c r="B53" s="2" t="s">
        <v>118</v>
      </c>
      <c r="C53" s="2" t="s">
        <v>434</v>
      </c>
      <c r="D53" s="2"/>
      <c r="E53" s="2"/>
      <c r="F53" s="2"/>
      <c r="G53" s="2"/>
      <c r="H53" s="2"/>
      <c r="I53" s="2"/>
      <c r="J53" s="2"/>
      <c r="K53" s="8"/>
      <c r="L53" s="2"/>
      <c r="M53" s="2"/>
      <c r="N53" s="2"/>
      <c r="O53" s="2"/>
      <c r="P53" s="2"/>
      <c r="Q53" s="2"/>
      <c r="R53" s="2"/>
      <c r="S53" s="8"/>
      <c r="T53" s="2"/>
      <c r="U53" s="2"/>
      <c r="V53" s="2"/>
      <c r="W53" s="2"/>
      <c r="X53" s="5">
        <v>46259</v>
      </c>
      <c r="Y53" s="2" t="s">
        <v>344</v>
      </c>
      <c r="Z53" s="2" t="s">
        <v>512</v>
      </c>
    </row>
    <row r="54" spans="1:26" ht="15" customHeight="1" x14ac:dyDescent="0.25">
      <c r="A54" s="2" t="s">
        <v>120</v>
      </c>
      <c r="B54" s="2" t="s">
        <v>121</v>
      </c>
      <c r="C54" s="2" t="s">
        <v>513</v>
      </c>
      <c r="D54" s="2"/>
      <c r="E54" s="2"/>
      <c r="F54" s="2"/>
      <c r="G54" s="2"/>
      <c r="H54" s="2"/>
      <c r="I54" s="2"/>
      <c r="J54" s="2"/>
      <c r="K54" s="8"/>
      <c r="L54" s="2"/>
      <c r="M54" s="2"/>
      <c r="N54" s="2" t="s">
        <v>307</v>
      </c>
      <c r="O54" s="2"/>
      <c r="P54" s="2"/>
      <c r="Q54" s="2"/>
      <c r="R54" s="2"/>
      <c r="S54" s="8"/>
      <c r="T54" s="2"/>
      <c r="U54" s="2"/>
      <c r="V54" s="2" t="s">
        <v>514</v>
      </c>
      <c r="W54" s="2"/>
      <c r="X54" s="5">
        <v>46259</v>
      </c>
      <c r="Y54" s="2" t="s">
        <v>344</v>
      </c>
      <c r="Z54" s="2" t="s">
        <v>515</v>
      </c>
    </row>
    <row r="55" spans="1:26" ht="15" customHeight="1" x14ac:dyDescent="0.25">
      <c r="A55" s="2" t="s">
        <v>120</v>
      </c>
      <c r="B55" s="2" t="s">
        <v>123</v>
      </c>
      <c r="C55" s="2" t="s">
        <v>327</v>
      </c>
      <c r="D55" s="2"/>
      <c r="E55" s="2"/>
      <c r="F55" s="2"/>
      <c r="G55" s="2"/>
      <c r="H55" s="2"/>
      <c r="I55" s="2"/>
      <c r="J55" s="2"/>
      <c r="K55" s="8"/>
      <c r="L55" s="2"/>
      <c r="M55" s="2"/>
      <c r="N55" s="2" t="s">
        <v>312</v>
      </c>
      <c r="O55" s="2"/>
      <c r="P55" s="2"/>
      <c r="Q55" s="2"/>
      <c r="R55" s="2" t="s">
        <v>516</v>
      </c>
      <c r="S55" s="8"/>
      <c r="T55" s="2"/>
      <c r="U55" s="2"/>
      <c r="V55" s="2" t="s">
        <v>517</v>
      </c>
      <c r="W55" s="2" t="s">
        <v>517</v>
      </c>
      <c r="X55" s="5">
        <v>46259</v>
      </c>
      <c r="Y55" s="2" t="s">
        <v>344</v>
      </c>
      <c r="Z55" s="2" t="s">
        <v>518</v>
      </c>
    </row>
    <row r="56" spans="1:26" ht="15" customHeight="1" x14ac:dyDescent="0.25">
      <c r="A56" s="2" t="s">
        <v>120</v>
      </c>
      <c r="B56" s="2" t="s">
        <v>124</v>
      </c>
      <c r="C56" s="2" t="s">
        <v>519</v>
      </c>
      <c r="D56" s="2"/>
      <c r="E56" s="2"/>
      <c r="F56" s="2"/>
      <c r="G56" s="2"/>
      <c r="H56" s="2"/>
      <c r="I56" s="2"/>
      <c r="J56" s="2"/>
      <c r="K56" s="8"/>
      <c r="L56" s="2"/>
      <c r="M56" s="2"/>
      <c r="N56" s="2" t="s">
        <v>307</v>
      </c>
      <c r="O56" s="2"/>
      <c r="P56" s="2"/>
      <c r="Q56" s="2"/>
      <c r="R56" s="2"/>
      <c r="S56" s="8"/>
      <c r="T56" s="2"/>
      <c r="U56" s="2"/>
      <c r="V56" s="2" t="s">
        <v>520</v>
      </c>
      <c r="W56" s="2"/>
      <c r="X56" s="5">
        <v>46259</v>
      </c>
      <c r="Y56" s="2" t="s">
        <v>344</v>
      </c>
      <c r="Z56" s="2" t="s">
        <v>521</v>
      </c>
    </row>
    <row r="57" spans="1:26" ht="15" customHeight="1" x14ac:dyDescent="0.25">
      <c r="A57" s="2" t="s">
        <v>120</v>
      </c>
      <c r="B57" s="2" t="s">
        <v>125</v>
      </c>
      <c r="C57" s="2" t="s">
        <v>522</v>
      </c>
      <c r="D57" s="2"/>
      <c r="E57" s="2"/>
      <c r="F57" s="2"/>
      <c r="G57" s="2"/>
      <c r="H57" s="2"/>
      <c r="I57" s="2"/>
      <c r="J57" s="2"/>
      <c r="K57" s="8"/>
      <c r="L57" s="2"/>
      <c r="M57" s="2"/>
      <c r="N57" s="2"/>
      <c r="O57" s="2"/>
      <c r="P57" s="2"/>
      <c r="Q57" s="2"/>
      <c r="R57" s="2"/>
      <c r="S57" s="8"/>
      <c r="T57" s="2"/>
      <c r="U57" s="2"/>
      <c r="V57" s="2" t="s">
        <v>523</v>
      </c>
      <c r="W57" s="2"/>
      <c r="X57" s="5">
        <v>46259</v>
      </c>
      <c r="Y57" s="2" t="s">
        <v>344</v>
      </c>
      <c r="Z57" s="2" t="s">
        <v>524</v>
      </c>
    </row>
    <row r="58" spans="1:26" ht="15" customHeight="1" x14ac:dyDescent="0.25">
      <c r="A58" s="2" t="s">
        <v>120</v>
      </c>
      <c r="B58" s="2" t="s">
        <v>127</v>
      </c>
      <c r="C58" s="2" t="s">
        <v>525</v>
      </c>
      <c r="D58" s="2"/>
      <c r="E58" s="2"/>
      <c r="F58" s="2"/>
      <c r="G58" s="2"/>
      <c r="H58" s="2"/>
      <c r="I58" s="2"/>
      <c r="J58" s="2"/>
      <c r="K58" s="8"/>
      <c r="L58" s="2"/>
      <c r="M58" s="2"/>
      <c r="N58" s="2" t="s">
        <v>307</v>
      </c>
      <c r="O58" s="2"/>
      <c r="P58" s="2"/>
      <c r="Q58" s="2"/>
      <c r="R58" s="2"/>
      <c r="S58" s="8"/>
      <c r="T58" s="2"/>
      <c r="U58" s="2"/>
      <c r="V58" s="2" t="s">
        <v>514</v>
      </c>
      <c r="W58" s="2"/>
      <c r="X58" s="5">
        <v>46259</v>
      </c>
      <c r="Y58" s="2" t="s">
        <v>344</v>
      </c>
      <c r="Z58" s="2" t="s">
        <v>526</v>
      </c>
    </row>
    <row r="59" spans="1:26" ht="15" customHeight="1" x14ac:dyDescent="0.25">
      <c r="A59" s="2" t="s">
        <v>129</v>
      </c>
      <c r="B59" s="2" t="s">
        <v>130</v>
      </c>
      <c r="C59" s="2" t="s">
        <v>527</v>
      </c>
      <c r="D59" s="2" t="s">
        <v>528</v>
      </c>
      <c r="E59" s="2" t="s">
        <v>529</v>
      </c>
      <c r="F59" s="2">
        <v>24</v>
      </c>
      <c r="G59" s="2">
        <v>600</v>
      </c>
      <c r="H59" s="2">
        <v>19</v>
      </c>
      <c r="I59" s="2">
        <v>475</v>
      </c>
      <c r="J59" s="2" t="s">
        <v>530</v>
      </c>
      <c r="K59" s="8"/>
      <c r="L59" s="2"/>
      <c r="M59" s="2"/>
      <c r="N59" s="2" t="s">
        <v>312</v>
      </c>
      <c r="O59" s="2" t="s">
        <v>531</v>
      </c>
      <c r="P59" s="2">
        <v>10</v>
      </c>
      <c r="Q59" s="2">
        <v>250</v>
      </c>
      <c r="R59" s="2"/>
      <c r="S59" s="8"/>
      <c r="T59" s="2"/>
      <c r="U59" s="2"/>
      <c r="V59" s="2" t="s">
        <v>532</v>
      </c>
      <c r="W59" s="2" t="s">
        <v>532</v>
      </c>
      <c r="X59" s="5">
        <v>46259</v>
      </c>
      <c r="Y59" s="2" t="s">
        <v>335</v>
      </c>
      <c r="Z59" s="2" t="s">
        <v>533</v>
      </c>
    </row>
    <row r="60" spans="1:26" ht="15" customHeight="1" x14ac:dyDescent="0.25">
      <c r="A60" s="2" t="s">
        <v>129</v>
      </c>
      <c r="B60" s="2" t="s">
        <v>132</v>
      </c>
      <c r="C60" s="2" t="s">
        <v>534</v>
      </c>
      <c r="D60" s="2"/>
      <c r="E60" s="2"/>
      <c r="F60" s="2"/>
      <c r="G60" s="2"/>
      <c r="H60" s="2"/>
      <c r="I60" s="2"/>
      <c r="J60" s="2"/>
      <c r="K60" s="8"/>
      <c r="L60" s="2"/>
      <c r="M60" s="2"/>
      <c r="N60" s="2" t="s">
        <v>312</v>
      </c>
      <c r="O60" s="2"/>
      <c r="P60" s="2"/>
      <c r="Q60" s="2"/>
      <c r="R60" s="2"/>
      <c r="S60" s="8"/>
      <c r="T60" s="2"/>
      <c r="U60" s="2"/>
      <c r="V60" s="2" t="s">
        <v>535</v>
      </c>
      <c r="W60" s="2"/>
      <c r="X60" s="5">
        <v>46259</v>
      </c>
      <c r="Y60" s="2" t="s">
        <v>344</v>
      </c>
      <c r="Z60" s="2" t="s">
        <v>536</v>
      </c>
    </row>
    <row r="61" spans="1:26" ht="15" customHeight="1" x14ac:dyDescent="0.25">
      <c r="A61" s="2" t="s">
        <v>129</v>
      </c>
      <c r="B61" s="2" t="s">
        <v>134</v>
      </c>
      <c r="C61" s="2" t="s">
        <v>537</v>
      </c>
      <c r="D61" s="2"/>
      <c r="E61" s="2"/>
      <c r="F61" s="2"/>
      <c r="G61" s="2"/>
      <c r="H61" s="2"/>
      <c r="I61" s="2"/>
      <c r="J61" s="2"/>
      <c r="K61" s="8"/>
      <c r="L61" s="2"/>
      <c r="M61" s="2"/>
      <c r="N61" s="2" t="s">
        <v>307</v>
      </c>
      <c r="O61" s="2"/>
      <c r="P61" s="2"/>
      <c r="Q61" s="2"/>
      <c r="R61" s="2"/>
      <c r="S61" s="8"/>
      <c r="T61" s="2"/>
      <c r="U61" s="2"/>
      <c r="V61" s="2" t="s">
        <v>538</v>
      </c>
      <c r="W61" s="2"/>
      <c r="X61" s="5">
        <v>46259</v>
      </c>
      <c r="Y61" s="2" t="s">
        <v>344</v>
      </c>
      <c r="Z61" s="2" t="s">
        <v>539</v>
      </c>
    </row>
    <row r="62" spans="1:26" ht="15" customHeight="1" x14ac:dyDescent="0.25">
      <c r="A62" s="2" t="s">
        <v>129</v>
      </c>
      <c r="B62" s="2" t="s">
        <v>136</v>
      </c>
      <c r="C62" s="2" t="s">
        <v>540</v>
      </c>
      <c r="D62" s="2"/>
      <c r="E62" s="2"/>
      <c r="F62" s="2">
        <v>18</v>
      </c>
      <c r="G62" s="2">
        <v>450</v>
      </c>
      <c r="H62" s="2">
        <v>18</v>
      </c>
      <c r="I62" s="2">
        <v>450</v>
      </c>
      <c r="J62" s="2" t="s">
        <v>530</v>
      </c>
      <c r="K62" s="8"/>
      <c r="L62" s="2"/>
      <c r="M62" s="2"/>
      <c r="N62" s="2" t="s">
        <v>312</v>
      </c>
      <c r="O62" s="2"/>
      <c r="P62" s="2"/>
      <c r="Q62" s="2"/>
      <c r="R62" s="2"/>
      <c r="S62" s="8"/>
      <c r="T62" s="2"/>
      <c r="U62" s="2"/>
      <c r="V62" s="2" t="s">
        <v>541</v>
      </c>
      <c r="W62" s="2" t="s">
        <v>541</v>
      </c>
      <c r="X62" s="5">
        <v>46259</v>
      </c>
      <c r="Y62" s="2" t="s">
        <v>417</v>
      </c>
      <c r="Z62" s="2" t="s">
        <v>542</v>
      </c>
    </row>
    <row r="63" spans="1:26" ht="15" customHeight="1" x14ac:dyDescent="0.25">
      <c r="A63" s="2" t="s">
        <v>129</v>
      </c>
      <c r="B63" s="2" t="s">
        <v>137</v>
      </c>
      <c r="C63" s="2" t="s">
        <v>543</v>
      </c>
      <c r="D63" s="2"/>
      <c r="E63" s="2"/>
      <c r="F63" s="2">
        <v>24</v>
      </c>
      <c r="G63" s="2">
        <v>600</v>
      </c>
      <c r="H63" s="2">
        <v>16</v>
      </c>
      <c r="I63" s="2">
        <v>400</v>
      </c>
      <c r="J63" s="2"/>
      <c r="K63" s="8"/>
      <c r="L63" s="2"/>
      <c r="M63" s="2"/>
      <c r="N63" s="2"/>
      <c r="O63" s="2"/>
      <c r="P63" s="2"/>
      <c r="Q63" s="2"/>
      <c r="R63" s="2"/>
      <c r="S63" s="8"/>
      <c r="T63" s="2"/>
      <c r="U63" s="2"/>
      <c r="V63" s="2" t="s">
        <v>544</v>
      </c>
      <c r="W63" s="2" t="s">
        <v>544</v>
      </c>
      <c r="X63" s="5">
        <v>46259</v>
      </c>
      <c r="Y63" s="2" t="s">
        <v>417</v>
      </c>
      <c r="Z63" s="2" t="s">
        <v>545</v>
      </c>
    </row>
    <row r="64" spans="1:26" ht="15" customHeight="1" x14ac:dyDescent="0.25">
      <c r="A64" s="2" t="s">
        <v>139</v>
      </c>
      <c r="B64" s="2" t="s">
        <v>140</v>
      </c>
      <c r="C64" s="2" t="s">
        <v>546</v>
      </c>
      <c r="D64" s="2"/>
      <c r="E64" s="2"/>
      <c r="F64" s="2">
        <v>24</v>
      </c>
      <c r="G64" s="2">
        <v>610</v>
      </c>
      <c r="H64" s="2">
        <v>18</v>
      </c>
      <c r="I64" s="2">
        <v>457</v>
      </c>
      <c r="J64" s="2"/>
      <c r="K64" s="8"/>
      <c r="L64" s="2"/>
      <c r="M64" s="2"/>
      <c r="N64" s="2" t="s">
        <v>307</v>
      </c>
      <c r="O64" s="2"/>
      <c r="P64" s="2"/>
      <c r="Q64" s="2"/>
      <c r="R64" s="2"/>
      <c r="S64" s="8"/>
      <c r="T64" s="2"/>
      <c r="U64" s="2"/>
      <c r="V64" s="2" t="s">
        <v>547</v>
      </c>
      <c r="W64" s="2" t="s">
        <v>547</v>
      </c>
      <c r="X64" s="5">
        <v>46259</v>
      </c>
      <c r="Y64" s="2" t="s">
        <v>417</v>
      </c>
      <c r="Z64" s="2" t="s">
        <v>548</v>
      </c>
    </row>
    <row r="65" spans="1:26" ht="15" customHeight="1" x14ac:dyDescent="0.25">
      <c r="A65" s="2" t="s">
        <v>139</v>
      </c>
      <c r="B65" s="2" t="s">
        <v>142</v>
      </c>
      <c r="C65" s="2" t="s">
        <v>549</v>
      </c>
      <c r="D65" s="2"/>
      <c r="E65" s="2"/>
      <c r="F65" s="2"/>
      <c r="G65" s="2"/>
      <c r="H65" s="2"/>
      <c r="I65" s="2"/>
      <c r="J65" s="2"/>
      <c r="K65" s="8"/>
      <c r="L65" s="2"/>
      <c r="M65" s="2"/>
      <c r="N65" s="2"/>
      <c r="O65" s="2"/>
      <c r="P65" s="2"/>
      <c r="Q65" s="2"/>
      <c r="R65" s="2"/>
      <c r="S65" s="8"/>
      <c r="T65" s="2"/>
      <c r="U65" s="2"/>
      <c r="V65" s="2" t="s">
        <v>550</v>
      </c>
      <c r="W65" s="2"/>
      <c r="X65" s="5">
        <v>46259</v>
      </c>
      <c r="Y65" s="2" t="s">
        <v>344</v>
      </c>
      <c r="Z65" s="2" t="s">
        <v>551</v>
      </c>
    </row>
    <row r="66" spans="1:26" ht="15" customHeight="1" x14ac:dyDescent="0.25">
      <c r="A66" s="2" t="s">
        <v>139</v>
      </c>
      <c r="B66" s="2" t="s">
        <v>144</v>
      </c>
      <c r="C66" s="2" t="s">
        <v>552</v>
      </c>
      <c r="D66" s="2" t="s">
        <v>553</v>
      </c>
      <c r="E66" s="2" t="s">
        <v>554</v>
      </c>
      <c r="F66" s="2">
        <v>23</v>
      </c>
      <c r="G66" s="2">
        <v>584</v>
      </c>
      <c r="H66" s="2">
        <v>23</v>
      </c>
      <c r="I66" s="2">
        <v>584</v>
      </c>
      <c r="J66" s="2"/>
      <c r="K66" s="8"/>
      <c r="L66" s="2"/>
      <c r="M66" s="2"/>
      <c r="N66" s="2" t="s">
        <v>307</v>
      </c>
      <c r="O66" s="2"/>
      <c r="P66" s="2"/>
      <c r="Q66" s="2"/>
      <c r="R66" s="2"/>
      <c r="S66" s="8"/>
      <c r="T66" s="2"/>
      <c r="U66" s="2"/>
      <c r="V66" s="2" t="s">
        <v>555</v>
      </c>
      <c r="W66" s="2" t="s">
        <v>556</v>
      </c>
      <c r="X66" s="5">
        <v>46259</v>
      </c>
      <c r="Y66" s="2" t="s">
        <v>335</v>
      </c>
      <c r="Z66" s="2" t="s">
        <v>557</v>
      </c>
    </row>
    <row r="67" spans="1:26" ht="15" customHeight="1" x14ac:dyDescent="0.25">
      <c r="A67" s="2" t="s">
        <v>139</v>
      </c>
      <c r="B67" s="2" t="s">
        <v>146</v>
      </c>
      <c r="C67" s="2" t="s">
        <v>558</v>
      </c>
      <c r="D67" s="2" t="s">
        <v>553</v>
      </c>
      <c r="E67" s="2" t="s">
        <v>554</v>
      </c>
      <c r="F67" s="2">
        <v>23</v>
      </c>
      <c r="G67" s="2">
        <v>584</v>
      </c>
      <c r="H67" s="2">
        <v>23</v>
      </c>
      <c r="I67" s="2">
        <v>584</v>
      </c>
      <c r="J67" s="2"/>
      <c r="K67" s="8"/>
      <c r="L67" s="2"/>
      <c r="M67" s="2"/>
      <c r="N67" s="2" t="s">
        <v>307</v>
      </c>
      <c r="O67" s="2"/>
      <c r="P67" s="2"/>
      <c r="Q67" s="2"/>
      <c r="R67" s="2"/>
      <c r="S67" s="8"/>
      <c r="T67" s="2"/>
      <c r="U67" s="2"/>
      <c r="V67" s="2" t="s">
        <v>555</v>
      </c>
      <c r="W67" s="2" t="s">
        <v>559</v>
      </c>
      <c r="X67" s="5">
        <v>46259</v>
      </c>
      <c r="Y67" s="2" t="s">
        <v>335</v>
      </c>
      <c r="Z67" s="2" t="s">
        <v>560</v>
      </c>
    </row>
    <row r="68" spans="1:26" ht="15" customHeight="1" x14ac:dyDescent="0.25">
      <c r="A68" s="2" t="s">
        <v>139</v>
      </c>
      <c r="B68" s="2" t="s">
        <v>147</v>
      </c>
      <c r="C68" s="2" t="s">
        <v>561</v>
      </c>
      <c r="D68" s="2" t="s">
        <v>562</v>
      </c>
      <c r="E68" s="2" t="s">
        <v>554</v>
      </c>
      <c r="F68" s="2">
        <v>23</v>
      </c>
      <c r="G68" s="2">
        <v>584</v>
      </c>
      <c r="H68" s="2">
        <v>23</v>
      </c>
      <c r="I68" s="2">
        <v>584</v>
      </c>
      <c r="J68" s="2"/>
      <c r="K68" s="8"/>
      <c r="L68" s="2"/>
      <c r="M68" s="2"/>
      <c r="N68" s="2" t="s">
        <v>307</v>
      </c>
      <c r="O68" s="2"/>
      <c r="P68" s="2"/>
      <c r="Q68" s="2"/>
      <c r="R68" s="2"/>
      <c r="S68" s="8"/>
      <c r="T68" s="2"/>
      <c r="U68" s="2"/>
      <c r="V68" s="2" t="s">
        <v>563</v>
      </c>
      <c r="W68" s="2" t="s">
        <v>564</v>
      </c>
      <c r="X68" s="5">
        <v>46259</v>
      </c>
      <c r="Y68" s="2" t="s">
        <v>335</v>
      </c>
      <c r="Z68" s="2" t="s">
        <v>565</v>
      </c>
    </row>
    <row r="69" spans="1:26" ht="15" customHeight="1" x14ac:dyDescent="0.25">
      <c r="A69" s="2" t="s">
        <v>148</v>
      </c>
      <c r="B69" s="2" t="s">
        <v>149</v>
      </c>
      <c r="C69" s="2"/>
      <c r="D69" s="2"/>
      <c r="E69" s="2"/>
      <c r="F69" s="2"/>
      <c r="G69" s="2"/>
      <c r="H69" s="2"/>
      <c r="I69" s="2"/>
      <c r="J69" s="2"/>
      <c r="K69" s="2"/>
      <c r="L69" s="2"/>
      <c r="M69" s="2"/>
      <c r="N69" s="2"/>
      <c r="O69" s="2"/>
      <c r="P69" s="2"/>
      <c r="Q69" s="2"/>
      <c r="R69" s="2"/>
      <c r="S69" s="2"/>
      <c r="T69" s="2"/>
      <c r="U69" s="2"/>
      <c r="V69" s="2"/>
      <c r="W69" s="2"/>
      <c r="X69" s="5">
        <v>46259</v>
      </c>
      <c r="Y69" s="2" t="s">
        <v>566</v>
      </c>
      <c r="Z69" s="2" t="s">
        <v>567</v>
      </c>
    </row>
    <row r="70" spans="1:26" ht="15" customHeight="1" x14ac:dyDescent="0.25">
      <c r="A70" s="2" t="s">
        <v>148</v>
      </c>
      <c r="B70" s="2" t="s">
        <v>151</v>
      </c>
      <c r="C70" s="2"/>
      <c r="D70" s="2"/>
      <c r="E70" s="2"/>
      <c r="F70" s="2"/>
      <c r="G70" s="2"/>
      <c r="H70" s="2"/>
      <c r="I70" s="2"/>
      <c r="J70" s="2"/>
      <c r="K70" s="2"/>
      <c r="L70" s="2"/>
      <c r="M70" s="2"/>
      <c r="N70" s="2"/>
      <c r="O70" s="2"/>
      <c r="P70" s="2"/>
      <c r="Q70" s="2"/>
      <c r="R70" s="2"/>
      <c r="S70" s="2"/>
      <c r="T70" s="2"/>
      <c r="U70" s="2"/>
      <c r="V70" s="2"/>
      <c r="W70" s="2"/>
      <c r="X70" s="5">
        <v>46259</v>
      </c>
      <c r="Y70" s="2" t="s">
        <v>566</v>
      </c>
      <c r="Z70" s="2" t="s">
        <v>567</v>
      </c>
    </row>
    <row r="71" spans="1:26" ht="15" customHeight="1" x14ac:dyDescent="0.25">
      <c r="A71" s="2" t="s">
        <v>148</v>
      </c>
      <c r="B71" s="2" t="s">
        <v>152</v>
      </c>
      <c r="C71" s="2"/>
      <c r="D71" s="2"/>
      <c r="E71" s="2"/>
      <c r="F71" s="2"/>
      <c r="G71" s="2"/>
      <c r="H71" s="2"/>
      <c r="I71" s="2"/>
      <c r="J71" s="2"/>
      <c r="K71" s="2"/>
      <c r="L71" s="2"/>
      <c r="M71" s="2"/>
      <c r="N71" s="2"/>
      <c r="O71" s="2"/>
      <c r="P71" s="2"/>
      <c r="Q71" s="2"/>
      <c r="R71" s="2"/>
      <c r="S71" s="2"/>
      <c r="T71" s="2"/>
      <c r="U71" s="2"/>
      <c r="V71" s="2"/>
      <c r="W71" s="2"/>
      <c r="X71" s="5">
        <v>46259</v>
      </c>
      <c r="Y71" s="2" t="s">
        <v>566</v>
      </c>
      <c r="Z71" s="2" t="s">
        <v>567</v>
      </c>
    </row>
    <row r="72" spans="1:26" ht="15" customHeight="1" x14ac:dyDescent="0.25">
      <c r="A72" s="2" t="s">
        <v>154</v>
      </c>
      <c r="B72" s="2" t="s">
        <v>155</v>
      </c>
      <c r="C72" s="2"/>
      <c r="D72" s="2"/>
      <c r="E72" s="2"/>
      <c r="F72" s="2"/>
      <c r="G72" s="2"/>
      <c r="H72" s="2"/>
      <c r="I72" s="2"/>
      <c r="J72" s="2"/>
      <c r="K72" s="2"/>
      <c r="L72" s="2"/>
      <c r="M72" s="2"/>
      <c r="N72" s="2"/>
      <c r="O72" s="2"/>
      <c r="P72" s="2"/>
      <c r="Q72" s="2"/>
      <c r="R72" s="2"/>
      <c r="S72" s="2"/>
      <c r="T72" s="2"/>
      <c r="U72" s="2"/>
      <c r="V72" s="2"/>
      <c r="W72" s="2"/>
      <c r="X72" s="5">
        <v>46259</v>
      </c>
      <c r="Y72" s="2" t="s">
        <v>566</v>
      </c>
      <c r="Z72" s="2" t="s">
        <v>567</v>
      </c>
    </row>
    <row r="73" spans="1:26" ht="15" customHeight="1" x14ac:dyDescent="0.25">
      <c r="A73" s="2" t="s">
        <v>154</v>
      </c>
      <c r="B73" s="2" t="s">
        <v>157</v>
      </c>
      <c r="C73" s="2"/>
      <c r="D73" s="2"/>
      <c r="E73" s="2"/>
      <c r="F73" s="2"/>
      <c r="G73" s="2"/>
      <c r="H73" s="2"/>
      <c r="I73" s="2"/>
      <c r="J73" s="2"/>
      <c r="K73" s="2"/>
      <c r="L73" s="2"/>
      <c r="M73" s="2"/>
      <c r="N73" s="2"/>
      <c r="O73" s="2"/>
      <c r="P73" s="2"/>
      <c r="Q73" s="2"/>
      <c r="R73" s="2"/>
      <c r="S73" s="2"/>
      <c r="T73" s="2"/>
      <c r="U73" s="2"/>
      <c r="V73" s="2"/>
      <c r="W73" s="2"/>
      <c r="X73" s="5">
        <v>46259</v>
      </c>
      <c r="Y73" s="2" t="s">
        <v>566</v>
      </c>
      <c r="Z73" s="2" t="s">
        <v>567</v>
      </c>
    </row>
    <row r="74" spans="1:26" ht="15" customHeight="1" x14ac:dyDescent="0.25">
      <c r="A74" s="2" t="s">
        <v>154</v>
      </c>
      <c r="B74" s="2" t="s">
        <v>158</v>
      </c>
      <c r="C74" s="2"/>
      <c r="D74" s="2"/>
      <c r="E74" s="2"/>
      <c r="F74" s="2"/>
      <c r="G74" s="2"/>
      <c r="H74" s="2"/>
      <c r="I74" s="2"/>
      <c r="J74" s="2"/>
      <c r="K74" s="2"/>
      <c r="L74" s="2"/>
      <c r="M74" s="2"/>
      <c r="N74" s="2"/>
      <c r="O74" s="2"/>
      <c r="P74" s="2"/>
      <c r="Q74" s="2"/>
      <c r="R74" s="2"/>
      <c r="S74" s="2"/>
      <c r="T74" s="2"/>
      <c r="U74" s="2"/>
      <c r="V74" s="2"/>
      <c r="W74" s="2"/>
      <c r="X74" s="5">
        <v>46259</v>
      </c>
      <c r="Y74" s="2" t="s">
        <v>566</v>
      </c>
      <c r="Z74" s="2" t="s">
        <v>567</v>
      </c>
    </row>
    <row r="75" spans="1:26" ht="15" customHeight="1" x14ac:dyDescent="0.25">
      <c r="A75" s="2" t="s">
        <v>154</v>
      </c>
      <c r="B75" s="2" t="s">
        <v>159</v>
      </c>
      <c r="C75" s="2"/>
      <c r="D75" s="2"/>
      <c r="E75" s="2"/>
      <c r="F75" s="2"/>
      <c r="G75" s="2"/>
      <c r="H75" s="2"/>
      <c r="I75" s="2"/>
      <c r="J75" s="2"/>
      <c r="K75" s="2"/>
      <c r="L75" s="2"/>
      <c r="M75" s="2"/>
      <c r="N75" s="2"/>
      <c r="O75" s="2"/>
      <c r="P75" s="2"/>
      <c r="Q75" s="2"/>
      <c r="R75" s="2"/>
      <c r="S75" s="2"/>
      <c r="T75" s="2"/>
      <c r="U75" s="2"/>
      <c r="V75" s="2"/>
      <c r="W75" s="2"/>
      <c r="X75" s="5">
        <v>46259</v>
      </c>
      <c r="Y75" s="2" t="s">
        <v>566</v>
      </c>
      <c r="Z75" s="2" t="s">
        <v>567</v>
      </c>
    </row>
    <row r="76" spans="1:26" ht="15" customHeight="1" x14ac:dyDescent="0.25">
      <c r="A76" s="2" t="s">
        <v>154</v>
      </c>
      <c r="B76" s="2" t="s">
        <v>160</v>
      </c>
      <c r="C76" s="2"/>
      <c r="D76" s="2"/>
      <c r="E76" s="2"/>
      <c r="F76" s="2"/>
      <c r="G76" s="2"/>
      <c r="H76" s="2"/>
      <c r="I76" s="2"/>
      <c r="J76" s="2"/>
      <c r="K76" s="2"/>
      <c r="L76" s="2"/>
      <c r="M76" s="2"/>
      <c r="N76" s="2"/>
      <c r="O76" s="2"/>
      <c r="P76" s="2"/>
      <c r="Q76" s="2"/>
      <c r="R76" s="2"/>
      <c r="S76" s="2"/>
      <c r="T76" s="2"/>
      <c r="U76" s="2"/>
      <c r="V76" s="2"/>
      <c r="W76" s="2"/>
      <c r="X76" s="5">
        <v>46259</v>
      </c>
      <c r="Y76" s="2" t="s">
        <v>566</v>
      </c>
      <c r="Z76" s="2" t="s">
        <v>567</v>
      </c>
    </row>
    <row r="77" spans="1:26" ht="15" customHeight="1" x14ac:dyDescent="0.25">
      <c r="A77" s="2" t="s">
        <v>161</v>
      </c>
      <c r="B77" s="2" t="s">
        <v>162</v>
      </c>
      <c r="C77" s="2"/>
      <c r="D77" s="2"/>
      <c r="E77" s="2"/>
      <c r="F77" s="2"/>
      <c r="G77" s="2"/>
      <c r="H77" s="2"/>
      <c r="I77" s="2"/>
      <c r="J77" s="2"/>
      <c r="K77" s="2"/>
      <c r="L77" s="2"/>
      <c r="M77" s="2"/>
      <c r="N77" s="2"/>
      <c r="O77" s="2"/>
      <c r="P77" s="2"/>
      <c r="Q77" s="2"/>
      <c r="R77" s="2"/>
      <c r="S77" s="2"/>
      <c r="T77" s="2"/>
      <c r="U77" s="2"/>
      <c r="V77" s="2"/>
      <c r="W77" s="2"/>
      <c r="X77" s="5">
        <v>46259</v>
      </c>
      <c r="Y77" s="2" t="s">
        <v>566</v>
      </c>
      <c r="Z77" s="2" t="s">
        <v>567</v>
      </c>
    </row>
    <row r="78" spans="1:26" ht="15" customHeight="1" x14ac:dyDescent="0.25">
      <c r="A78" s="2" t="s">
        <v>161</v>
      </c>
      <c r="B78" s="2" t="s">
        <v>164</v>
      </c>
      <c r="C78" s="2"/>
      <c r="D78" s="2"/>
      <c r="E78" s="2"/>
      <c r="F78" s="2"/>
      <c r="G78" s="2"/>
      <c r="H78" s="2"/>
      <c r="I78" s="2"/>
      <c r="J78" s="2"/>
      <c r="K78" s="2"/>
      <c r="L78" s="2"/>
      <c r="M78" s="2"/>
      <c r="N78" s="2"/>
      <c r="O78" s="2"/>
      <c r="P78" s="2"/>
      <c r="Q78" s="2"/>
      <c r="R78" s="2"/>
      <c r="S78" s="2"/>
      <c r="T78" s="2"/>
      <c r="U78" s="2"/>
      <c r="V78" s="2"/>
      <c r="W78" s="2"/>
      <c r="X78" s="5">
        <v>46259</v>
      </c>
      <c r="Y78" s="2" t="s">
        <v>566</v>
      </c>
      <c r="Z78" s="2" t="s">
        <v>567</v>
      </c>
    </row>
    <row r="79" spans="1:26" ht="15" customHeight="1" x14ac:dyDescent="0.25">
      <c r="A79" s="2" t="s">
        <v>161</v>
      </c>
      <c r="B79" s="2" t="s">
        <v>166</v>
      </c>
      <c r="C79" s="2"/>
      <c r="D79" s="2"/>
      <c r="E79" s="2"/>
      <c r="F79" s="2"/>
      <c r="G79" s="2"/>
      <c r="H79" s="2"/>
      <c r="I79" s="2"/>
      <c r="J79" s="2"/>
      <c r="K79" s="2"/>
      <c r="L79" s="2"/>
      <c r="M79" s="2"/>
      <c r="N79" s="2"/>
      <c r="O79" s="2"/>
      <c r="P79" s="2"/>
      <c r="Q79" s="2"/>
      <c r="R79" s="2"/>
      <c r="S79" s="2"/>
      <c r="T79" s="2"/>
      <c r="U79" s="2"/>
      <c r="V79" s="2"/>
      <c r="W79" s="2"/>
      <c r="X79" s="5">
        <v>46259</v>
      </c>
      <c r="Y79" s="2" t="s">
        <v>566</v>
      </c>
      <c r="Z79" s="2" t="s">
        <v>567</v>
      </c>
    </row>
    <row r="80" spans="1:26" ht="15" customHeight="1" x14ac:dyDescent="0.25">
      <c r="A80" s="2" t="s">
        <v>167</v>
      </c>
      <c r="B80" s="2" t="s">
        <v>168</v>
      </c>
      <c r="C80" s="2"/>
      <c r="D80" s="2"/>
      <c r="E80" s="2"/>
      <c r="F80" s="2"/>
      <c r="G80" s="2"/>
      <c r="H80" s="2"/>
      <c r="I80" s="2"/>
      <c r="J80" s="2"/>
      <c r="K80" s="2"/>
      <c r="L80" s="2"/>
      <c r="M80" s="2"/>
      <c r="N80" s="2"/>
      <c r="O80" s="2"/>
      <c r="P80" s="2"/>
      <c r="Q80" s="2"/>
      <c r="R80" s="2"/>
      <c r="S80" s="2"/>
      <c r="T80" s="2"/>
      <c r="U80" s="2"/>
      <c r="V80" s="2"/>
      <c r="W80" s="2"/>
      <c r="X80" s="5">
        <v>46259</v>
      </c>
      <c r="Y80" s="2" t="s">
        <v>566</v>
      </c>
      <c r="Z80" s="2" t="s">
        <v>567</v>
      </c>
    </row>
    <row r="81" spans="1:26" ht="15" customHeight="1" x14ac:dyDescent="0.25">
      <c r="A81" s="2" t="s">
        <v>167</v>
      </c>
      <c r="B81" s="2" t="s">
        <v>170</v>
      </c>
      <c r="C81" s="2"/>
      <c r="D81" s="2"/>
      <c r="E81" s="2"/>
      <c r="F81" s="2"/>
      <c r="G81" s="2"/>
      <c r="H81" s="2"/>
      <c r="I81" s="2"/>
      <c r="J81" s="2"/>
      <c r="K81" s="2"/>
      <c r="L81" s="2"/>
      <c r="M81" s="2"/>
      <c r="N81" s="2"/>
      <c r="O81" s="2"/>
      <c r="P81" s="2"/>
      <c r="Q81" s="2"/>
      <c r="R81" s="2"/>
      <c r="S81" s="2"/>
      <c r="T81" s="2"/>
      <c r="U81" s="2"/>
      <c r="V81" s="2"/>
      <c r="W81" s="2"/>
      <c r="X81" s="5">
        <v>46259</v>
      </c>
      <c r="Y81" s="2" t="s">
        <v>566</v>
      </c>
      <c r="Z81" s="2" t="s">
        <v>567</v>
      </c>
    </row>
  </sheetData>
  <autoFilter ref="A1:Z8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tabSelected="1" zoomScaleNormal="100" workbookViewId="0">
      <pane xSplit="3" ySplit="1" topLeftCell="D2" activePane="bottomRight" state="frozen"/>
      <selection pane="topRight" activeCell="D1" sqref="D1"/>
      <selection pane="bottomLeft" activeCell="A2" sqref="A2"/>
      <selection pane="bottomRight" activeCell="H5" sqref="H5"/>
    </sheetView>
  </sheetViews>
  <sheetFormatPr defaultColWidth="8.7109375" defaultRowHeight="15" x14ac:dyDescent="0.25"/>
  <cols>
    <col min="1" max="1" width="10" customWidth="1"/>
    <col min="2" max="2" width="11" customWidth="1"/>
    <col min="3" max="3" width="14" customWidth="1"/>
    <col min="4" max="4" width="26" customWidth="1"/>
    <col min="5" max="5" width="12" customWidth="1"/>
    <col min="6" max="6" width="34" customWidth="1"/>
    <col min="7" max="7" width="52" customWidth="1"/>
    <col min="8" max="8" width="60" customWidth="1"/>
    <col min="9" max="9" width="14" customWidth="1"/>
    <col min="10" max="10" width="19" customWidth="1"/>
    <col min="11" max="11" width="40" customWidth="1"/>
    <col min="12" max="12" width="22" customWidth="1"/>
    <col min="13" max="13" width="15" customWidth="1"/>
    <col min="14" max="14" width="46" customWidth="1"/>
  </cols>
  <sheetData>
    <row r="1" spans="1:14" ht="25.5" customHeight="1" x14ac:dyDescent="0.25">
      <c r="A1" s="9" t="s">
        <v>568</v>
      </c>
      <c r="B1" s="9" t="s">
        <v>569</v>
      </c>
      <c r="C1" s="9" t="s">
        <v>570</v>
      </c>
      <c r="D1" s="9" t="s">
        <v>571</v>
      </c>
      <c r="E1" s="9" t="s">
        <v>572</v>
      </c>
      <c r="F1" s="9" t="s">
        <v>573</v>
      </c>
      <c r="G1" s="9" t="s">
        <v>574</v>
      </c>
      <c r="H1" s="9" t="s">
        <v>575</v>
      </c>
      <c r="I1" s="9" t="s">
        <v>576</v>
      </c>
      <c r="J1" s="9" t="s">
        <v>577</v>
      </c>
      <c r="K1" s="9" t="s">
        <v>578</v>
      </c>
      <c r="L1" s="9" t="s">
        <v>579</v>
      </c>
      <c r="M1" s="9" t="s">
        <v>11</v>
      </c>
      <c r="N1" s="9" t="s">
        <v>580</v>
      </c>
    </row>
    <row r="2" spans="1:14" ht="25.5" customHeight="1" x14ac:dyDescent="0.25">
      <c r="A2" s="10" t="s">
        <v>581</v>
      </c>
      <c r="B2" s="10">
        <v>0</v>
      </c>
      <c r="C2" s="10" t="s">
        <v>13</v>
      </c>
      <c r="D2" s="10" t="s">
        <v>303</v>
      </c>
      <c r="E2" s="10" t="s">
        <v>582</v>
      </c>
      <c r="F2" s="11" t="s">
        <v>583</v>
      </c>
      <c r="G2" s="11" t="s">
        <v>584</v>
      </c>
      <c r="H2" s="11" t="s">
        <v>585</v>
      </c>
      <c r="I2" s="12" t="s">
        <v>586</v>
      </c>
      <c r="J2" s="12" t="s">
        <v>587</v>
      </c>
      <c r="K2" s="12" t="s">
        <v>588</v>
      </c>
      <c r="L2" s="12" t="s">
        <v>589</v>
      </c>
      <c r="M2" s="12" t="s">
        <v>590</v>
      </c>
      <c r="N2" s="13" t="s">
        <v>591</v>
      </c>
    </row>
    <row r="3" spans="1:14" ht="51" customHeight="1" x14ac:dyDescent="0.25">
      <c r="A3" s="14" t="s">
        <v>592</v>
      </c>
      <c r="B3" s="14">
        <v>1</v>
      </c>
      <c r="C3" s="14" t="s">
        <v>13</v>
      </c>
      <c r="D3" s="14" t="s">
        <v>303</v>
      </c>
      <c r="E3" s="14" t="s">
        <v>582</v>
      </c>
      <c r="F3" s="15" t="s">
        <v>593</v>
      </c>
      <c r="G3" s="15" t="s">
        <v>594</v>
      </c>
      <c r="H3" s="15" t="s">
        <v>595</v>
      </c>
      <c r="I3" s="16">
        <v>178.27</v>
      </c>
      <c r="J3" s="16">
        <v>2</v>
      </c>
      <c r="K3" s="17" t="s">
        <v>306</v>
      </c>
      <c r="L3" s="16" t="s">
        <v>596</v>
      </c>
      <c r="M3" s="18">
        <v>46260</v>
      </c>
      <c r="N3" s="19" t="s">
        <v>597</v>
      </c>
    </row>
    <row r="4" spans="1:14" ht="51" customHeight="1" x14ac:dyDescent="0.25">
      <c r="A4" s="14" t="s">
        <v>598</v>
      </c>
      <c r="B4" s="14">
        <v>1</v>
      </c>
      <c r="C4" s="14" t="s">
        <v>13</v>
      </c>
      <c r="D4" s="14" t="s">
        <v>303</v>
      </c>
      <c r="E4" s="14" t="s">
        <v>582</v>
      </c>
      <c r="F4" s="15" t="s">
        <v>593</v>
      </c>
      <c r="G4" s="15" t="s">
        <v>594</v>
      </c>
      <c r="H4" s="15" t="s">
        <v>595</v>
      </c>
      <c r="I4" s="16">
        <v>399</v>
      </c>
      <c r="J4" s="16">
        <v>2</v>
      </c>
      <c r="K4" s="17" t="s">
        <v>599</v>
      </c>
      <c r="L4" s="16" t="s">
        <v>596</v>
      </c>
      <c r="M4" s="18">
        <v>46260</v>
      </c>
      <c r="N4" s="19" t="s">
        <v>597</v>
      </c>
    </row>
    <row r="5" spans="1:14" ht="51" customHeight="1" x14ac:dyDescent="0.25">
      <c r="A5" s="14" t="s">
        <v>600</v>
      </c>
      <c r="B5" s="14">
        <v>1</v>
      </c>
      <c r="C5" s="14" t="s">
        <v>13</v>
      </c>
      <c r="D5" s="14" t="s">
        <v>303</v>
      </c>
      <c r="E5" s="14" t="s">
        <v>582</v>
      </c>
      <c r="F5" s="15" t="s">
        <v>593</v>
      </c>
      <c r="G5" s="15" t="s">
        <v>594</v>
      </c>
      <c r="H5" s="15" t="s">
        <v>595</v>
      </c>
      <c r="I5" s="16">
        <v>228</v>
      </c>
      <c r="J5" s="16">
        <v>2</v>
      </c>
      <c r="K5" s="17" t="s">
        <v>601</v>
      </c>
      <c r="L5" s="16" t="s">
        <v>602</v>
      </c>
      <c r="M5" s="18">
        <v>46260</v>
      </c>
      <c r="N5" s="19" t="s">
        <v>597</v>
      </c>
    </row>
    <row r="6" spans="1:14" ht="63.75" customHeight="1" x14ac:dyDescent="0.25">
      <c r="A6" s="14" t="s">
        <v>603</v>
      </c>
      <c r="B6" s="14">
        <v>2</v>
      </c>
      <c r="C6" s="14" t="s">
        <v>13</v>
      </c>
      <c r="D6" s="14">
        <v>7090652</v>
      </c>
      <c r="E6" s="14" t="s">
        <v>582</v>
      </c>
      <c r="F6" s="15" t="s">
        <v>604</v>
      </c>
      <c r="G6" s="15" t="s">
        <v>605</v>
      </c>
      <c r="H6" s="15" t="s">
        <v>606</v>
      </c>
      <c r="I6" s="16">
        <v>280.33</v>
      </c>
      <c r="J6" s="16">
        <v>2</v>
      </c>
      <c r="K6" s="17" t="s">
        <v>607</v>
      </c>
      <c r="L6" s="16" t="s">
        <v>596</v>
      </c>
      <c r="M6" s="18">
        <v>46260</v>
      </c>
      <c r="N6" s="19" t="s">
        <v>597</v>
      </c>
    </row>
    <row r="7" spans="1:14" ht="63.75" customHeight="1" x14ac:dyDescent="0.25">
      <c r="A7" s="14" t="s">
        <v>603</v>
      </c>
      <c r="B7" s="14">
        <v>2</v>
      </c>
      <c r="C7" s="14" t="s">
        <v>13</v>
      </c>
      <c r="D7" s="14">
        <v>7090652</v>
      </c>
      <c r="E7" s="14" t="s">
        <v>582</v>
      </c>
      <c r="F7" s="15" t="s">
        <v>604</v>
      </c>
      <c r="G7" s="15" t="s">
        <v>605</v>
      </c>
      <c r="H7" s="15" t="s">
        <v>606</v>
      </c>
      <c r="I7" s="16">
        <v>188.66</v>
      </c>
      <c r="J7" s="16">
        <v>2</v>
      </c>
      <c r="K7" s="17" t="s">
        <v>608</v>
      </c>
      <c r="L7" s="16" t="s">
        <v>596</v>
      </c>
      <c r="M7" s="18">
        <v>46260</v>
      </c>
      <c r="N7" s="19" t="s">
        <v>597</v>
      </c>
    </row>
    <row r="8" spans="1:14" ht="38.25" customHeight="1" x14ac:dyDescent="0.25">
      <c r="A8" s="14" t="s">
        <v>609</v>
      </c>
      <c r="B8" s="14">
        <v>3</v>
      </c>
      <c r="C8" s="14" t="s">
        <v>13</v>
      </c>
      <c r="D8" s="14">
        <v>7089943</v>
      </c>
      <c r="E8" s="14" t="s">
        <v>582</v>
      </c>
      <c r="F8" s="15" t="s">
        <v>610</v>
      </c>
      <c r="G8" s="15" t="s">
        <v>611</v>
      </c>
      <c r="H8" s="15" t="s">
        <v>612</v>
      </c>
      <c r="I8" s="16">
        <v>383.57</v>
      </c>
      <c r="J8" s="16">
        <v>2</v>
      </c>
      <c r="K8" s="17" t="s">
        <v>613</v>
      </c>
      <c r="L8" s="16" t="s">
        <v>596</v>
      </c>
      <c r="M8" s="18">
        <v>46260</v>
      </c>
      <c r="N8" s="19" t="s">
        <v>614</v>
      </c>
    </row>
    <row r="9" spans="1:14" ht="38.25" customHeight="1" x14ac:dyDescent="0.25">
      <c r="A9" s="14" t="s">
        <v>609</v>
      </c>
      <c r="B9" s="14">
        <v>3</v>
      </c>
      <c r="C9" s="14" t="s">
        <v>13</v>
      </c>
      <c r="D9" s="14">
        <v>7089943</v>
      </c>
      <c r="E9" s="14" t="s">
        <v>582</v>
      </c>
      <c r="F9" s="15" t="s">
        <v>610</v>
      </c>
      <c r="G9" s="15" t="s">
        <v>611</v>
      </c>
      <c r="H9" s="15" t="s">
        <v>612</v>
      </c>
      <c r="I9" s="16">
        <v>289</v>
      </c>
      <c r="J9" s="16">
        <v>2</v>
      </c>
      <c r="K9" s="17" t="s">
        <v>324</v>
      </c>
      <c r="L9" s="16" t="s">
        <v>596</v>
      </c>
      <c r="M9" s="18">
        <v>46260</v>
      </c>
      <c r="N9" s="19" t="s">
        <v>614</v>
      </c>
    </row>
    <row r="10" spans="1:14" ht="38.25" customHeight="1" x14ac:dyDescent="0.25">
      <c r="A10" s="14" t="s">
        <v>615</v>
      </c>
      <c r="B10" s="14">
        <v>4</v>
      </c>
      <c r="C10" s="14" t="s">
        <v>13</v>
      </c>
      <c r="D10" s="14">
        <v>7087586</v>
      </c>
      <c r="E10" s="14" t="s">
        <v>616</v>
      </c>
      <c r="F10" s="15" t="s">
        <v>617</v>
      </c>
      <c r="G10" s="15" t="s">
        <v>618</v>
      </c>
      <c r="H10" s="15" t="s">
        <v>619</v>
      </c>
      <c r="I10" s="16">
        <v>58.31</v>
      </c>
      <c r="J10" s="16">
        <v>1</v>
      </c>
      <c r="K10" s="16" t="s">
        <v>620</v>
      </c>
      <c r="L10" s="16" t="s">
        <v>596</v>
      </c>
      <c r="M10" s="18">
        <v>46260</v>
      </c>
      <c r="N10" s="19" t="s">
        <v>621</v>
      </c>
    </row>
    <row r="11" spans="1:14" ht="38.25" customHeight="1" x14ac:dyDescent="0.25">
      <c r="A11" s="14" t="s">
        <v>615</v>
      </c>
      <c r="B11" s="14">
        <v>4</v>
      </c>
      <c r="C11" s="14" t="s">
        <v>13</v>
      </c>
      <c r="D11" s="14">
        <v>7087586</v>
      </c>
      <c r="E11" s="14" t="s">
        <v>616</v>
      </c>
      <c r="F11" s="15" t="s">
        <v>617</v>
      </c>
      <c r="G11" s="15" t="s">
        <v>618</v>
      </c>
      <c r="H11" s="15" t="s">
        <v>619</v>
      </c>
      <c r="I11" s="16">
        <v>36.89</v>
      </c>
      <c r="J11" s="16">
        <v>1</v>
      </c>
      <c r="K11" s="16" t="s">
        <v>320</v>
      </c>
      <c r="L11" s="16" t="s">
        <v>596</v>
      </c>
      <c r="M11" s="18">
        <v>46260</v>
      </c>
      <c r="N11" s="19" t="s">
        <v>622</v>
      </c>
    </row>
    <row r="12" spans="1:14" ht="38.25" customHeight="1" x14ac:dyDescent="0.25">
      <c r="A12" s="14" t="s">
        <v>623</v>
      </c>
      <c r="B12" s="14">
        <v>5</v>
      </c>
      <c r="C12" s="14" t="s">
        <v>13</v>
      </c>
      <c r="D12" s="14" t="s">
        <v>624</v>
      </c>
      <c r="E12" s="14" t="s">
        <v>616</v>
      </c>
      <c r="F12" s="15" t="s">
        <v>625</v>
      </c>
      <c r="G12" s="15" t="s">
        <v>626</v>
      </c>
      <c r="H12" s="15" t="s">
        <v>627</v>
      </c>
      <c r="I12" s="16">
        <v>166.31</v>
      </c>
      <c r="J12" s="16">
        <v>1</v>
      </c>
      <c r="K12" s="16" t="s">
        <v>314</v>
      </c>
      <c r="L12" s="16" t="s">
        <v>596</v>
      </c>
      <c r="M12" s="18">
        <v>46260</v>
      </c>
      <c r="N12" s="19" t="s">
        <v>628</v>
      </c>
    </row>
    <row r="13" spans="1:14" ht="38.25" customHeight="1" x14ac:dyDescent="0.25">
      <c r="A13" s="14" t="s">
        <v>629</v>
      </c>
      <c r="B13" s="14">
        <v>6</v>
      </c>
      <c r="C13" s="14" t="s">
        <v>13</v>
      </c>
      <c r="D13" s="14" t="s">
        <v>630</v>
      </c>
      <c r="E13" s="14" t="s">
        <v>616</v>
      </c>
      <c r="F13" s="15" t="s">
        <v>631</v>
      </c>
      <c r="G13" s="15" t="s">
        <v>632</v>
      </c>
      <c r="H13" s="15" t="s">
        <v>633</v>
      </c>
      <c r="I13" s="16"/>
      <c r="J13" s="16"/>
      <c r="K13" s="16"/>
      <c r="L13" s="16"/>
      <c r="M13" s="16"/>
      <c r="N13" s="19" t="s">
        <v>634</v>
      </c>
    </row>
    <row r="14" spans="1:14" ht="38.25" customHeight="1" x14ac:dyDescent="0.25">
      <c r="A14" s="14" t="s">
        <v>635</v>
      </c>
      <c r="B14" s="14">
        <v>7</v>
      </c>
      <c r="C14" s="14" t="s">
        <v>80</v>
      </c>
      <c r="D14" s="14" t="s">
        <v>452</v>
      </c>
      <c r="E14" s="14" t="s">
        <v>582</v>
      </c>
      <c r="F14" s="15" t="s">
        <v>636</v>
      </c>
      <c r="G14" s="15" t="s">
        <v>637</v>
      </c>
      <c r="H14" s="15" t="s">
        <v>638</v>
      </c>
      <c r="I14" s="16"/>
      <c r="J14" s="16"/>
      <c r="K14" s="16"/>
      <c r="L14" s="16"/>
      <c r="M14" s="16"/>
      <c r="N14" s="19"/>
    </row>
    <row r="15" spans="1:14" ht="25.5" customHeight="1" x14ac:dyDescent="0.25">
      <c r="A15" s="14" t="s">
        <v>639</v>
      </c>
      <c r="B15" s="14">
        <v>8</v>
      </c>
      <c r="C15" s="14" t="s">
        <v>80</v>
      </c>
      <c r="D15" s="14" t="s">
        <v>640</v>
      </c>
      <c r="E15" s="14" t="s">
        <v>582</v>
      </c>
      <c r="F15" s="15" t="s">
        <v>641</v>
      </c>
      <c r="G15" s="15" t="s">
        <v>642</v>
      </c>
      <c r="H15" s="15" t="s">
        <v>643</v>
      </c>
      <c r="I15" s="16"/>
      <c r="J15" s="16"/>
      <c r="K15" s="16"/>
      <c r="L15" s="16"/>
      <c r="M15" s="16"/>
      <c r="N15" s="19"/>
    </row>
    <row r="16" spans="1:14" ht="25.5" customHeight="1" x14ac:dyDescent="0.25">
      <c r="A16" s="14" t="s">
        <v>644</v>
      </c>
      <c r="B16" s="14">
        <v>9</v>
      </c>
      <c r="C16" s="14" t="s">
        <v>80</v>
      </c>
      <c r="D16" s="14" t="s">
        <v>645</v>
      </c>
      <c r="E16" s="14" t="s">
        <v>616</v>
      </c>
      <c r="F16" s="15" t="s">
        <v>646</v>
      </c>
      <c r="G16" s="15" t="s">
        <v>647</v>
      </c>
      <c r="H16" s="15" t="s">
        <v>648</v>
      </c>
      <c r="I16" s="16"/>
      <c r="J16" s="16"/>
      <c r="K16" s="16"/>
      <c r="L16" s="16"/>
      <c r="M16" s="16"/>
      <c r="N16" s="19"/>
    </row>
    <row r="17" spans="1:14" ht="25.5" customHeight="1" x14ac:dyDescent="0.25">
      <c r="A17" s="14" t="s">
        <v>649</v>
      </c>
      <c r="B17" s="14">
        <v>10</v>
      </c>
      <c r="C17" s="14" t="s">
        <v>80</v>
      </c>
      <c r="D17" s="14" t="s">
        <v>455</v>
      </c>
      <c r="E17" s="14" t="s">
        <v>616</v>
      </c>
      <c r="F17" s="15" t="s">
        <v>636</v>
      </c>
      <c r="G17" s="15" t="s">
        <v>650</v>
      </c>
      <c r="H17" s="15" t="s">
        <v>651</v>
      </c>
      <c r="I17" s="16"/>
      <c r="J17" s="16"/>
      <c r="K17" s="16"/>
      <c r="L17" s="16"/>
      <c r="M17" s="16"/>
      <c r="N17" s="19"/>
    </row>
    <row r="18" spans="1:14" ht="25.5" customHeight="1" x14ac:dyDescent="0.25">
      <c r="A18" s="14" t="s">
        <v>652</v>
      </c>
      <c r="B18" s="14">
        <v>11</v>
      </c>
      <c r="C18" s="14" t="s">
        <v>80</v>
      </c>
      <c r="D18" s="14" t="s">
        <v>653</v>
      </c>
      <c r="E18" s="14" t="s">
        <v>616</v>
      </c>
      <c r="F18" s="15" t="s">
        <v>654</v>
      </c>
      <c r="G18" s="15" t="s">
        <v>655</v>
      </c>
      <c r="H18" s="15" t="s">
        <v>656</v>
      </c>
      <c r="I18" s="16"/>
      <c r="J18" s="16"/>
      <c r="K18" s="16"/>
      <c r="L18" s="16"/>
      <c r="M18" s="16"/>
      <c r="N18" s="19"/>
    </row>
    <row r="19" spans="1:14" ht="38.25" customHeight="1" x14ac:dyDescent="0.25">
      <c r="A19" s="14" t="s">
        <v>657</v>
      </c>
      <c r="B19" s="14">
        <v>12</v>
      </c>
      <c r="C19" s="14" t="s">
        <v>139</v>
      </c>
      <c r="D19" s="14" t="s">
        <v>562</v>
      </c>
      <c r="E19" s="14" t="s">
        <v>582</v>
      </c>
      <c r="F19" s="15" t="s">
        <v>658</v>
      </c>
      <c r="G19" s="15" t="s">
        <v>659</v>
      </c>
      <c r="H19" s="15" t="s">
        <v>660</v>
      </c>
      <c r="I19" s="16"/>
      <c r="J19" s="16"/>
      <c r="K19" s="16"/>
      <c r="L19" s="16"/>
      <c r="M19" s="16"/>
      <c r="N19" s="19"/>
    </row>
    <row r="20" spans="1:14" ht="25.5" customHeight="1" x14ac:dyDescent="0.25">
      <c r="A20" s="14" t="s">
        <v>661</v>
      </c>
      <c r="B20" s="14">
        <v>13</v>
      </c>
      <c r="C20" s="14" t="s">
        <v>139</v>
      </c>
      <c r="D20" s="14" t="s">
        <v>553</v>
      </c>
      <c r="E20" s="14" t="s">
        <v>582</v>
      </c>
      <c r="F20" s="15" t="s">
        <v>662</v>
      </c>
      <c r="G20" s="15" t="s">
        <v>663</v>
      </c>
      <c r="H20" s="15" t="s">
        <v>664</v>
      </c>
      <c r="I20" s="16"/>
      <c r="J20" s="16"/>
      <c r="K20" s="16"/>
      <c r="L20" s="16"/>
      <c r="M20" s="16"/>
      <c r="N20" s="19"/>
    </row>
    <row r="21" spans="1:14" ht="38.25" customHeight="1" x14ac:dyDescent="0.25">
      <c r="A21" s="14" t="s">
        <v>665</v>
      </c>
      <c r="B21" s="14">
        <v>14</v>
      </c>
      <c r="C21" s="14" t="s">
        <v>139</v>
      </c>
      <c r="D21" s="14" t="s">
        <v>666</v>
      </c>
      <c r="E21" s="14" t="s">
        <v>582</v>
      </c>
      <c r="F21" s="15" t="s">
        <v>667</v>
      </c>
      <c r="G21" s="15" t="s">
        <v>668</v>
      </c>
      <c r="H21" s="15" t="s">
        <v>669</v>
      </c>
      <c r="I21" s="16"/>
      <c r="J21" s="16"/>
      <c r="K21" s="16"/>
      <c r="L21" s="16"/>
      <c r="M21" s="16"/>
      <c r="N21" s="19"/>
    </row>
    <row r="22" spans="1:14" ht="25.5" customHeight="1" x14ac:dyDescent="0.25">
      <c r="A22" s="14" t="s">
        <v>670</v>
      </c>
      <c r="B22" s="14">
        <v>15</v>
      </c>
      <c r="C22" s="14" t="s">
        <v>139</v>
      </c>
      <c r="D22" s="14" t="s">
        <v>671</v>
      </c>
      <c r="E22" s="14" t="s">
        <v>582</v>
      </c>
      <c r="F22" s="15" t="s">
        <v>672</v>
      </c>
      <c r="G22" s="15" t="s">
        <v>673</v>
      </c>
      <c r="H22" s="15" t="s">
        <v>674</v>
      </c>
      <c r="I22" s="16"/>
      <c r="J22" s="16"/>
      <c r="K22" s="16"/>
      <c r="L22" s="16"/>
      <c r="M22" s="16"/>
      <c r="N22" s="19"/>
    </row>
    <row r="23" spans="1:14" x14ac:dyDescent="0.25">
      <c r="A23" s="14" t="s">
        <v>675</v>
      </c>
      <c r="B23" s="14">
        <v>16</v>
      </c>
      <c r="C23" s="14" t="s">
        <v>154</v>
      </c>
      <c r="D23" s="14" t="s">
        <v>676</v>
      </c>
      <c r="E23" s="14" t="s">
        <v>582</v>
      </c>
      <c r="F23" s="15" t="s">
        <v>677</v>
      </c>
      <c r="G23" s="15" t="s">
        <v>678</v>
      </c>
      <c r="H23" s="15" t="s">
        <v>679</v>
      </c>
      <c r="I23" s="16"/>
      <c r="J23" s="16"/>
      <c r="K23" s="16"/>
      <c r="L23" s="16"/>
      <c r="M23" s="16"/>
      <c r="N23" s="19"/>
    </row>
    <row r="24" spans="1:14" x14ac:dyDescent="0.25">
      <c r="A24" s="14" t="s">
        <v>680</v>
      </c>
      <c r="B24" s="14">
        <v>17</v>
      </c>
      <c r="C24" s="14" t="s">
        <v>154</v>
      </c>
      <c r="D24" s="14" t="s">
        <v>681</v>
      </c>
      <c r="E24" s="14" t="s">
        <v>582</v>
      </c>
      <c r="F24" s="15" t="s">
        <v>682</v>
      </c>
      <c r="G24" s="15" t="s">
        <v>678</v>
      </c>
      <c r="H24" s="15" t="s">
        <v>679</v>
      </c>
      <c r="I24" s="16"/>
      <c r="J24" s="16"/>
      <c r="K24" s="16"/>
      <c r="L24" s="16"/>
      <c r="M24" s="16"/>
      <c r="N24" s="19"/>
    </row>
    <row r="25" spans="1:14" x14ac:dyDescent="0.25">
      <c r="A25" s="14" t="s">
        <v>683</v>
      </c>
      <c r="B25" s="14">
        <v>18</v>
      </c>
      <c r="C25" s="14" t="s">
        <v>154</v>
      </c>
      <c r="D25" s="14" t="s">
        <v>684</v>
      </c>
      <c r="E25" s="14" t="s">
        <v>582</v>
      </c>
      <c r="F25" s="15" t="s">
        <v>685</v>
      </c>
      <c r="G25" s="15" t="s">
        <v>678</v>
      </c>
      <c r="H25" s="15" t="s">
        <v>686</v>
      </c>
      <c r="I25" s="16"/>
      <c r="J25" s="16"/>
      <c r="K25" s="16"/>
      <c r="L25" s="16"/>
      <c r="M25" s="16"/>
      <c r="N25" s="19"/>
    </row>
    <row r="26" spans="1:14" x14ac:dyDescent="0.25">
      <c r="A26" s="14" t="s">
        <v>687</v>
      </c>
      <c r="B26" s="14">
        <v>19</v>
      </c>
      <c r="C26" s="14" t="s">
        <v>154</v>
      </c>
      <c r="D26" s="14" t="s">
        <v>688</v>
      </c>
      <c r="E26" s="14" t="s">
        <v>582</v>
      </c>
      <c r="F26" s="15" t="s">
        <v>689</v>
      </c>
      <c r="G26" s="15" t="s">
        <v>678</v>
      </c>
      <c r="H26" s="15" t="s">
        <v>686</v>
      </c>
      <c r="I26" s="16"/>
      <c r="J26" s="16"/>
      <c r="K26" s="16"/>
      <c r="L26" s="16"/>
      <c r="M26" s="16"/>
      <c r="N26" s="19"/>
    </row>
    <row r="27" spans="1:14" x14ac:dyDescent="0.25">
      <c r="A27" s="14" t="s">
        <v>690</v>
      </c>
      <c r="B27" s="14">
        <v>20</v>
      </c>
      <c r="C27" s="14" t="s">
        <v>154</v>
      </c>
      <c r="D27" s="14" t="s">
        <v>691</v>
      </c>
      <c r="E27" s="14" t="s">
        <v>582</v>
      </c>
      <c r="F27" s="15" t="s">
        <v>692</v>
      </c>
      <c r="G27" s="15" t="s">
        <v>678</v>
      </c>
      <c r="H27" s="15" t="s">
        <v>686</v>
      </c>
      <c r="I27" s="16"/>
      <c r="J27" s="16"/>
      <c r="K27" s="16"/>
      <c r="L27" s="16"/>
      <c r="M27" s="16"/>
      <c r="N27" s="19"/>
    </row>
    <row r="28" spans="1:14" ht="25.5" customHeight="1" x14ac:dyDescent="0.25">
      <c r="A28" s="14" t="s">
        <v>693</v>
      </c>
      <c r="B28" s="14">
        <v>21</v>
      </c>
      <c r="C28" s="14" t="s">
        <v>154</v>
      </c>
      <c r="D28" s="14" t="s">
        <v>694</v>
      </c>
      <c r="E28" s="14" t="s">
        <v>616</v>
      </c>
      <c r="F28" s="15" t="s">
        <v>677</v>
      </c>
      <c r="G28" s="15" t="s">
        <v>695</v>
      </c>
      <c r="H28" s="15" t="s">
        <v>696</v>
      </c>
      <c r="I28" s="16"/>
      <c r="J28" s="16"/>
      <c r="K28" s="16"/>
      <c r="L28" s="16"/>
      <c r="M28" s="16"/>
      <c r="N28" s="19"/>
    </row>
    <row r="29" spans="1:14" ht="25.5" customHeight="1" x14ac:dyDescent="0.25">
      <c r="A29" s="14" t="s">
        <v>697</v>
      </c>
      <c r="B29" s="14">
        <v>22</v>
      </c>
      <c r="C29" s="14" t="s">
        <v>154</v>
      </c>
      <c r="D29" s="14" t="s">
        <v>698</v>
      </c>
      <c r="E29" s="14" t="s">
        <v>616</v>
      </c>
      <c r="F29" s="15" t="s">
        <v>682</v>
      </c>
      <c r="G29" s="15" t="s">
        <v>699</v>
      </c>
      <c r="H29" s="15" t="s">
        <v>700</v>
      </c>
      <c r="I29" s="16"/>
      <c r="J29" s="16"/>
      <c r="K29" s="16"/>
      <c r="L29" s="16"/>
      <c r="M29" s="16"/>
      <c r="N29" s="19"/>
    </row>
    <row r="31" spans="1:14" x14ac:dyDescent="0.25">
      <c r="A31" s="7" t="s">
        <v>701</v>
      </c>
    </row>
    <row r="32" spans="1:14" x14ac:dyDescent="0.25">
      <c r="A32" s="2" t="s">
        <v>702</v>
      </c>
    </row>
    <row r="33" spans="1:1" x14ac:dyDescent="0.25">
      <c r="A33" s="2" t="s">
        <v>703</v>
      </c>
    </row>
    <row r="34" spans="1:1" x14ac:dyDescent="0.25">
      <c r="A34" s="2" t="s">
        <v>704</v>
      </c>
    </row>
    <row r="35" spans="1:1" x14ac:dyDescent="0.25">
      <c r="A35" s="2" t="s">
        <v>705</v>
      </c>
    </row>
    <row r="36" spans="1:1" x14ac:dyDescent="0.25">
      <c r="A36" s="2" t="s">
        <v>706</v>
      </c>
    </row>
    <row r="37" spans="1:1" x14ac:dyDescent="0.25">
      <c r="A37" s="2" t="s">
        <v>707</v>
      </c>
    </row>
    <row r="38" spans="1:1" x14ac:dyDescent="0.25">
      <c r="A38" s="2" t="s">
        <v>708</v>
      </c>
    </row>
    <row r="39" spans="1:1" x14ac:dyDescent="0.25">
      <c r="A39" s="2" t="s">
        <v>709</v>
      </c>
    </row>
    <row r="40" spans="1:1" x14ac:dyDescent="0.25">
      <c r="A40" s="2"/>
    </row>
    <row r="41" spans="1:1" x14ac:dyDescent="0.25">
      <c r="A41" s="2" t="s">
        <v>710</v>
      </c>
    </row>
    <row r="42" spans="1:1" x14ac:dyDescent="0.25">
      <c r="A42" s="2" t="s">
        <v>711</v>
      </c>
    </row>
  </sheetData>
  <hyperlinks>
    <hyperlink ref="K3" r:id="rId1" xr:uid="{00000000-0004-0000-0300-000000000000}"/>
    <hyperlink ref="K4" r:id="rId2" xr:uid="{00000000-0004-0000-0300-000001000000}"/>
    <hyperlink ref="K5" r:id="rId3" xr:uid="{00000000-0004-0000-0300-000002000000}"/>
    <hyperlink ref="K6" r:id="rId4" xr:uid="{00000000-0004-0000-0300-000003000000}"/>
    <hyperlink ref="K8" r:id="rId5" xr:uid="{00000000-0004-0000-0300-000004000000}"/>
    <hyperlink ref="K9" r:id="rId6" xr:uid="{00000000-0004-0000-0300-000005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1"/>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8.7109375" defaultRowHeight="15" x14ac:dyDescent="0.25"/>
  <cols>
    <col min="1" max="1" width="24" customWidth="1"/>
    <col min="2" max="2" width="14" customWidth="1"/>
    <col min="3" max="3" width="16" customWidth="1"/>
    <col min="4" max="4" width="15" customWidth="1"/>
    <col min="5" max="5" width="22" customWidth="1"/>
    <col min="6" max="6" width="38" customWidth="1"/>
    <col min="7" max="9" width="24" customWidth="1"/>
    <col min="10" max="10" width="18" customWidth="1"/>
    <col min="11" max="11" width="14" customWidth="1"/>
    <col min="12" max="12" width="18" customWidth="1"/>
    <col min="13" max="13" width="24" customWidth="1"/>
    <col min="14" max="14" width="26" customWidth="1"/>
    <col min="15" max="15" width="46" customWidth="1"/>
    <col min="16" max="17" width="56" customWidth="1"/>
    <col min="18" max="18" width="14" customWidth="1"/>
    <col min="19" max="19" width="16" customWidth="1"/>
    <col min="20" max="20" width="88" customWidth="1"/>
  </cols>
  <sheetData>
    <row r="1" spans="1:20" ht="25.5" x14ac:dyDescent="0.25">
      <c r="A1" s="9" t="s">
        <v>712</v>
      </c>
      <c r="B1" s="9" t="s">
        <v>0</v>
      </c>
      <c r="C1" s="9" t="s">
        <v>1</v>
      </c>
      <c r="D1" s="9" t="s">
        <v>2</v>
      </c>
      <c r="E1" s="9" t="s">
        <v>4</v>
      </c>
      <c r="F1" s="9" t="s">
        <v>713</v>
      </c>
      <c r="G1" s="9" t="s">
        <v>714</v>
      </c>
      <c r="H1" s="9" t="s">
        <v>715</v>
      </c>
      <c r="I1" s="9" t="s">
        <v>716</v>
      </c>
      <c r="J1" s="9" t="s">
        <v>717</v>
      </c>
      <c r="K1" s="9" t="s">
        <v>718</v>
      </c>
      <c r="L1" s="9" t="s">
        <v>719</v>
      </c>
      <c r="M1" s="9" t="s">
        <v>720</v>
      </c>
      <c r="N1" s="9" t="s">
        <v>721</v>
      </c>
      <c r="O1" s="9" t="s">
        <v>722</v>
      </c>
      <c r="P1" s="9" t="s">
        <v>723</v>
      </c>
      <c r="Q1" s="9" t="s">
        <v>724</v>
      </c>
      <c r="R1" s="9" t="s">
        <v>11</v>
      </c>
      <c r="S1" s="9" t="s">
        <v>725</v>
      </c>
      <c r="T1" s="9" t="s">
        <v>12</v>
      </c>
    </row>
    <row r="2" spans="1:20" x14ac:dyDescent="0.25">
      <c r="A2" s="2" t="s">
        <v>726</v>
      </c>
      <c r="B2" s="2" t="s">
        <v>13</v>
      </c>
      <c r="C2" s="2" t="s">
        <v>14</v>
      </c>
      <c r="D2" s="2" t="s">
        <v>15</v>
      </c>
      <c r="E2" s="3">
        <v>97941</v>
      </c>
      <c r="F2" s="2" t="s">
        <v>303</v>
      </c>
      <c r="G2" s="20">
        <v>178.27</v>
      </c>
      <c r="H2" s="8">
        <v>178.27</v>
      </c>
      <c r="I2" s="8">
        <v>399</v>
      </c>
      <c r="J2" s="2">
        <v>2</v>
      </c>
      <c r="K2" s="2" t="s">
        <v>307</v>
      </c>
      <c r="L2" s="2"/>
      <c r="M2" s="2"/>
      <c r="N2" s="8">
        <f t="shared" ref="N2:N33" si="0">IF(OR($G2="",AND($K2="sim",$M2="")),"",$G2+IF($M2="",0,$M2))</f>
        <v>178.27</v>
      </c>
      <c r="O2" s="2" t="s">
        <v>305</v>
      </c>
      <c r="P2" s="2" t="s">
        <v>306</v>
      </c>
      <c r="Q2" s="2"/>
      <c r="R2" s="5">
        <v>46260</v>
      </c>
      <c r="S2" s="2" t="str">
        <f t="shared" ref="S2:S33" si="1">IF($G2="","sem preco",IF(AND($K2="sim",$M2=""),"so dianteiro","completo"))</f>
        <v>completo</v>
      </c>
      <c r="T2" s="2" t="s">
        <v>727</v>
      </c>
    </row>
    <row r="3" spans="1:20" x14ac:dyDescent="0.25">
      <c r="A3" s="2" t="s">
        <v>728</v>
      </c>
      <c r="B3" s="2" t="s">
        <v>13</v>
      </c>
      <c r="C3" s="2" t="s">
        <v>20</v>
      </c>
      <c r="D3" s="2" t="s">
        <v>21</v>
      </c>
      <c r="E3" s="3">
        <v>54641</v>
      </c>
      <c r="F3" s="2" t="s">
        <v>729</v>
      </c>
      <c r="G3" s="20">
        <v>178.27</v>
      </c>
      <c r="H3" s="8">
        <v>178.27</v>
      </c>
      <c r="I3" s="8">
        <v>399</v>
      </c>
      <c r="J3" s="2">
        <v>4</v>
      </c>
      <c r="K3" s="2" t="s">
        <v>312</v>
      </c>
      <c r="L3" s="2" t="s">
        <v>313</v>
      </c>
      <c r="M3" s="8">
        <v>166.31</v>
      </c>
      <c r="N3" s="8">
        <f t="shared" si="0"/>
        <v>344.58000000000004</v>
      </c>
      <c r="O3" s="2" t="s">
        <v>305</v>
      </c>
      <c r="P3" s="2" t="s">
        <v>306</v>
      </c>
      <c r="Q3" s="2" t="s">
        <v>314</v>
      </c>
      <c r="R3" s="5">
        <v>46260</v>
      </c>
      <c r="S3" s="2" t="str">
        <f t="shared" si="1"/>
        <v>completo</v>
      </c>
      <c r="T3" s="2" t="s">
        <v>730</v>
      </c>
    </row>
    <row r="4" spans="1:20" x14ac:dyDescent="0.25">
      <c r="A4" s="2" t="s">
        <v>731</v>
      </c>
      <c r="B4" s="2" t="s">
        <v>13</v>
      </c>
      <c r="C4" s="2" t="s">
        <v>23</v>
      </c>
      <c r="D4" s="2" t="s">
        <v>21</v>
      </c>
      <c r="E4" s="3">
        <v>38685</v>
      </c>
      <c r="F4" s="2" t="s">
        <v>303</v>
      </c>
      <c r="G4" s="20">
        <v>178.27</v>
      </c>
      <c r="H4" s="8">
        <v>178.27</v>
      </c>
      <c r="I4" s="8">
        <v>399</v>
      </c>
      <c r="J4" s="2">
        <v>2</v>
      </c>
      <c r="K4" s="2" t="s">
        <v>312</v>
      </c>
      <c r="L4" s="2" t="s">
        <v>319</v>
      </c>
      <c r="M4" s="8">
        <v>36.89</v>
      </c>
      <c r="N4" s="8">
        <f t="shared" si="0"/>
        <v>215.16000000000003</v>
      </c>
      <c r="O4" s="2" t="s">
        <v>305</v>
      </c>
      <c r="P4" s="2" t="s">
        <v>306</v>
      </c>
      <c r="Q4" s="2" t="s">
        <v>320</v>
      </c>
      <c r="R4" s="5">
        <v>46260</v>
      </c>
      <c r="S4" s="2" t="str">
        <f t="shared" si="1"/>
        <v>completo</v>
      </c>
      <c r="T4" s="2" t="s">
        <v>732</v>
      </c>
    </row>
    <row r="5" spans="1:20" x14ac:dyDescent="0.25">
      <c r="A5" s="2" t="s">
        <v>733</v>
      </c>
      <c r="B5" s="2" t="s">
        <v>13</v>
      </c>
      <c r="C5" s="2" t="s">
        <v>24</v>
      </c>
      <c r="D5" s="2" t="s">
        <v>15</v>
      </c>
      <c r="E5" s="3">
        <v>31696</v>
      </c>
      <c r="F5" s="2" t="s">
        <v>323</v>
      </c>
      <c r="G5" s="20">
        <v>289</v>
      </c>
      <c r="H5" s="8">
        <v>289</v>
      </c>
      <c r="I5" s="8">
        <v>383.57</v>
      </c>
      <c r="J5" s="2">
        <v>2</v>
      </c>
      <c r="K5" s="2" t="s">
        <v>307</v>
      </c>
      <c r="L5" s="2"/>
      <c r="M5" s="2"/>
      <c r="N5" s="8">
        <f t="shared" si="0"/>
        <v>289</v>
      </c>
      <c r="O5" s="2" t="s">
        <v>305</v>
      </c>
      <c r="P5" s="2" t="s">
        <v>324</v>
      </c>
      <c r="Q5" s="2"/>
      <c r="R5" s="5">
        <v>46260</v>
      </c>
      <c r="S5" s="2" t="str">
        <f t="shared" si="1"/>
        <v>completo</v>
      </c>
      <c r="T5" s="2" t="s">
        <v>734</v>
      </c>
    </row>
    <row r="6" spans="1:20" x14ac:dyDescent="0.25">
      <c r="A6" s="2" t="s">
        <v>735</v>
      </c>
      <c r="B6" s="2" t="s">
        <v>13</v>
      </c>
      <c r="C6" s="2" t="s">
        <v>25</v>
      </c>
      <c r="D6" s="2" t="s">
        <v>26</v>
      </c>
      <c r="E6" s="3">
        <v>30154</v>
      </c>
      <c r="F6" s="2" t="s">
        <v>729</v>
      </c>
      <c r="G6" s="20">
        <v>178.27</v>
      </c>
      <c r="H6" s="8">
        <v>178.27</v>
      </c>
      <c r="I6" s="8">
        <v>399</v>
      </c>
      <c r="J6" s="2">
        <v>4</v>
      </c>
      <c r="K6" s="2" t="s">
        <v>312</v>
      </c>
      <c r="L6" s="2"/>
      <c r="M6" s="2"/>
      <c r="N6" s="8" t="str">
        <f t="shared" si="0"/>
        <v/>
      </c>
      <c r="O6" s="2" t="s">
        <v>305</v>
      </c>
      <c r="P6" s="2" t="s">
        <v>306</v>
      </c>
      <c r="Q6" s="2"/>
      <c r="R6" s="5">
        <v>46260</v>
      </c>
      <c r="S6" s="2" t="str">
        <f t="shared" si="1"/>
        <v>so dianteiro</v>
      </c>
      <c r="T6" s="2" t="s">
        <v>736</v>
      </c>
    </row>
    <row r="7" spans="1:20" x14ac:dyDescent="0.25">
      <c r="A7" s="2" t="s">
        <v>737</v>
      </c>
      <c r="B7" s="2" t="s">
        <v>27</v>
      </c>
      <c r="C7" s="2" t="s">
        <v>28</v>
      </c>
      <c r="D7" s="2" t="s">
        <v>21</v>
      </c>
      <c r="E7" s="3">
        <v>64431</v>
      </c>
      <c r="F7" s="2"/>
      <c r="G7" s="7"/>
      <c r="H7" s="2"/>
      <c r="I7" s="2"/>
      <c r="J7" s="2"/>
      <c r="K7" s="2" t="s">
        <v>312</v>
      </c>
      <c r="L7" s="2"/>
      <c r="M7" s="2"/>
      <c r="N7" s="8" t="str">
        <f t="shared" si="0"/>
        <v/>
      </c>
      <c r="O7" s="2"/>
      <c r="P7" s="2"/>
      <c r="Q7" s="2"/>
      <c r="R7" s="2"/>
      <c r="S7" s="2" t="str">
        <f t="shared" si="1"/>
        <v>sem preco</v>
      </c>
      <c r="T7" s="2" t="s">
        <v>738</v>
      </c>
    </row>
    <row r="8" spans="1:20" x14ac:dyDescent="0.25">
      <c r="A8" s="2" t="s">
        <v>739</v>
      </c>
      <c r="B8" s="2" t="s">
        <v>27</v>
      </c>
      <c r="C8" s="2" t="s">
        <v>30</v>
      </c>
      <c r="D8" s="2" t="s">
        <v>26</v>
      </c>
      <c r="E8" s="3">
        <v>55118</v>
      </c>
      <c r="F8" s="2"/>
      <c r="G8" s="7"/>
      <c r="H8" s="2"/>
      <c r="I8" s="2"/>
      <c r="J8" s="2"/>
      <c r="K8" s="2" t="s">
        <v>312</v>
      </c>
      <c r="L8" s="2"/>
      <c r="M8" s="2"/>
      <c r="N8" s="8" t="str">
        <f t="shared" si="0"/>
        <v/>
      </c>
      <c r="O8" s="2"/>
      <c r="P8" s="2"/>
      <c r="Q8" s="2"/>
      <c r="R8" s="2"/>
      <c r="S8" s="2" t="str">
        <f t="shared" si="1"/>
        <v>sem preco</v>
      </c>
      <c r="T8" s="2" t="s">
        <v>738</v>
      </c>
    </row>
    <row r="9" spans="1:20" x14ac:dyDescent="0.25">
      <c r="A9" s="2" t="s">
        <v>740</v>
      </c>
      <c r="B9" s="2" t="s">
        <v>27</v>
      </c>
      <c r="C9" s="2" t="s">
        <v>31</v>
      </c>
      <c r="D9" s="2" t="s">
        <v>26</v>
      </c>
      <c r="E9" s="3">
        <v>51585</v>
      </c>
      <c r="F9" s="2"/>
      <c r="G9" s="7"/>
      <c r="H9" s="2"/>
      <c r="I9" s="2"/>
      <c r="J9" s="2"/>
      <c r="K9" s="2"/>
      <c r="L9" s="2"/>
      <c r="M9" s="2"/>
      <c r="N9" s="8" t="str">
        <f t="shared" si="0"/>
        <v/>
      </c>
      <c r="O9" s="2"/>
      <c r="P9" s="2"/>
      <c r="Q9" s="2"/>
      <c r="R9" s="2"/>
      <c r="S9" s="2" t="str">
        <f t="shared" si="1"/>
        <v>sem preco</v>
      </c>
      <c r="T9" s="2" t="s">
        <v>738</v>
      </c>
    </row>
    <row r="10" spans="1:20" x14ac:dyDescent="0.25">
      <c r="A10" s="2" t="s">
        <v>741</v>
      </c>
      <c r="B10" s="2" t="s">
        <v>27</v>
      </c>
      <c r="C10" s="2" t="s">
        <v>33</v>
      </c>
      <c r="D10" s="2" t="s">
        <v>26</v>
      </c>
      <c r="E10" s="3">
        <v>32235</v>
      </c>
      <c r="F10" s="2"/>
      <c r="G10" s="7"/>
      <c r="H10" s="2"/>
      <c r="I10" s="2"/>
      <c r="J10" s="2"/>
      <c r="K10" s="2" t="s">
        <v>312</v>
      </c>
      <c r="L10" s="2"/>
      <c r="M10" s="2"/>
      <c r="N10" s="8" t="str">
        <f t="shared" si="0"/>
        <v/>
      </c>
      <c r="O10" s="2"/>
      <c r="P10" s="2"/>
      <c r="Q10" s="2"/>
      <c r="R10" s="2"/>
      <c r="S10" s="2" t="str">
        <f t="shared" si="1"/>
        <v>sem preco</v>
      </c>
      <c r="T10" s="2" t="s">
        <v>738</v>
      </c>
    </row>
    <row r="11" spans="1:20" x14ac:dyDescent="0.25">
      <c r="A11" s="2" t="s">
        <v>742</v>
      </c>
      <c r="B11" s="2" t="s">
        <v>27</v>
      </c>
      <c r="C11" s="2" t="s">
        <v>35</v>
      </c>
      <c r="D11" s="2" t="s">
        <v>15</v>
      </c>
      <c r="E11" s="3">
        <v>28588</v>
      </c>
      <c r="F11" s="2"/>
      <c r="G11" s="7"/>
      <c r="H11" s="2"/>
      <c r="I11" s="2"/>
      <c r="J11" s="2"/>
      <c r="K11" s="2" t="s">
        <v>307</v>
      </c>
      <c r="L11" s="2"/>
      <c r="M11" s="2"/>
      <c r="N11" s="8" t="str">
        <f t="shared" si="0"/>
        <v/>
      </c>
      <c r="O11" s="2"/>
      <c r="P11" s="2"/>
      <c r="Q11" s="2"/>
      <c r="R11" s="2"/>
      <c r="S11" s="2" t="str">
        <f t="shared" si="1"/>
        <v>sem preco</v>
      </c>
      <c r="T11" s="2" t="s">
        <v>738</v>
      </c>
    </row>
    <row r="12" spans="1:20" x14ac:dyDescent="0.25">
      <c r="A12" s="2" t="s">
        <v>743</v>
      </c>
      <c r="B12" s="2" t="s">
        <v>37</v>
      </c>
      <c r="C12" s="2" t="s">
        <v>38</v>
      </c>
      <c r="D12" s="2" t="s">
        <v>21</v>
      </c>
      <c r="E12" s="3">
        <v>54421</v>
      </c>
      <c r="F12" s="2"/>
      <c r="G12" s="7"/>
      <c r="H12" s="2"/>
      <c r="I12" s="2"/>
      <c r="J12" s="2"/>
      <c r="K12" s="2" t="s">
        <v>312</v>
      </c>
      <c r="L12" s="2"/>
      <c r="M12" s="2"/>
      <c r="N12" s="8" t="str">
        <f t="shared" si="0"/>
        <v/>
      </c>
      <c r="O12" s="2"/>
      <c r="P12" s="2"/>
      <c r="Q12" s="2"/>
      <c r="R12" s="2"/>
      <c r="S12" s="2" t="str">
        <f t="shared" si="1"/>
        <v>sem preco</v>
      </c>
      <c r="T12" s="2" t="s">
        <v>738</v>
      </c>
    </row>
    <row r="13" spans="1:20" x14ac:dyDescent="0.25">
      <c r="A13" s="2" t="s">
        <v>744</v>
      </c>
      <c r="B13" s="2" t="s">
        <v>37</v>
      </c>
      <c r="C13" s="2" t="s">
        <v>40</v>
      </c>
      <c r="D13" s="2" t="s">
        <v>26</v>
      </c>
      <c r="E13" s="3">
        <v>34805</v>
      </c>
      <c r="F13" s="2"/>
      <c r="G13" s="7"/>
      <c r="H13" s="2"/>
      <c r="I13" s="2"/>
      <c r="J13" s="2"/>
      <c r="K13" s="2" t="s">
        <v>312</v>
      </c>
      <c r="L13" s="2"/>
      <c r="M13" s="2"/>
      <c r="N13" s="8" t="str">
        <f t="shared" si="0"/>
        <v/>
      </c>
      <c r="O13" s="2"/>
      <c r="P13" s="2"/>
      <c r="Q13" s="2"/>
      <c r="R13" s="2"/>
      <c r="S13" s="2" t="str">
        <f t="shared" si="1"/>
        <v>sem preco</v>
      </c>
      <c r="T13" s="2" t="s">
        <v>738</v>
      </c>
    </row>
    <row r="14" spans="1:20" x14ac:dyDescent="0.25">
      <c r="A14" s="2" t="s">
        <v>745</v>
      </c>
      <c r="B14" s="2" t="s">
        <v>37</v>
      </c>
      <c r="C14" s="2" t="s">
        <v>42</v>
      </c>
      <c r="D14" s="2" t="s">
        <v>43</v>
      </c>
      <c r="E14" s="3">
        <v>23921</v>
      </c>
      <c r="F14" s="2"/>
      <c r="G14" s="7"/>
      <c r="H14" s="2"/>
      <c r="I14" s="2"/>
      <c r="J14" s="2"/>
      <c r="K14" s="2" t="s">
        <v>307</v>
      </c>
      <c r="L14" s="2"/>
      <c r="M14" s="2"/>
      <c r="N14" s="8" t="str">
        <f t="shared" si="0"/>
        <v/>
      </c>
      <c r="O14" s="2"/>
      <c r="P14" s="2"/>
      <c r="Q14" s="2"/>
      <c r="R14" s="2"/>
      <c r="S14" s="2" t="str">
        <f t="shared" si="1"/>
        <v>sem preco</v>
      </c>
      <c r="T14" s="2" t="s">
        <v>738</v>
      </c>
    </row>
    <row r="15" spans="1:20" x14ac:dyDescent="0.25">
      <c r="A15" s="2" t="s">
        <v>746</v>
      </c>
      <c r="B15" s="2" t="s">
        <v>37</v>
      </c>
      <c r="C15" s="2" t="s">
        <v>45</v>
      </c>
      <c r="D15" s="2" t="s">
        <v>15</v>
      </c>
      <c r="E15" s="3">
        <v>17570</v>
      </c>
      <c r="F15" s="2"/>
      <c r="G15" s="7"/>
      <c r="H15" s="2"/>
      <c r="I15" s="2"/>
      <c r="J15" s="2"/>
      <c r="K15" s="2" t="s">
        <v>307</v>
      </c>
      <c r="L15" s="2"/>
      <c r="M15" s="2"/>
      <c r="N15" s="8" t="str">
        <f t="shared" si="0"/>
        <v/>
      </c>
      <c r="O15" s="2"/>
      <c r="P15" s="2"/>
      <c r="Q15" s="2"/>
      <c r="R15" s="2"/>
      <c r="S15" s="2" t="str">
        <f t="shared" si="1"/>
        <v>sem preco</v>
      </c>
      <c r="T15" s="2" t="s">
        <v>738</v>
      </c>
    </row>
    <row r="16" spans="1:20" x14ac:dyDescent="0.25">
      <c r="A16" s="2" t="s">
        <v>747</v>
      </c>
      <c r="B16" s="2" t="s">
        <v>37</v>
      </c>
      <c r="C16" s="2" t="s">
        <v>46</v>
      </c>
      <c r="D16" s="2" t="s">
        <v>47</v>
      </c>
      <c r="E16" s="3">
        <v>11678</v>
      </c>
      <c r="F16" s="2"/>
      <c r="G16" s="7"/>
      <c r="H16" s="2"/>
      <c r="I16" s="2"/>
      <c r="J16" s="2"/>
      <c r="K16" s="2" t="s">
        <v>312</v>
      </c>
      <c r="L16" s="2"/>
      <c r="M16" s="2"/>
      <c r="N16" s="8" t="str">
        <f t="shared" si="0"/>
        <v/>
      </c>
      <c r="O16" s="2"/>
      <c r="P16" s="2"/>
      <c r="Q16" s="2"/>
      <c r="R16" s="2"/>
      <c r="S16" s="2" t="str">
        <f t="shared" si="1"/>
        <v>sem preco</v>
      </c>
      <c r="T16" s="2" t="s">
        <v>738</v>
      </c>
    </row>
    <row r="17" spans="1:20" x14ac:dyDescent="0.25">
      <c r="A17" s="2" t="s">
        <v>748</v>
      </c>
      <c r="B17" s="2" t="s">
        <v>49</v>
      </c>
      <c r="C17" s="2" t="s">
        <v>50</v>
      </c>
      <c r="D17" s="2" t="s">
        <v>21</v>
      </c>
      <c r="E17" s="3">
        <v>41966</v>
      </c>
      <c r="F17" s="2"/>
      <c r="G17" s="7"/>
      <c r="H17" s="2"/>
      <c r="I17" s="2"/>
      <c r="J17" s="2"/>
      <c r="K17" s="2" t="s">
        <v>312</v>
      </c>
      <c r="L17" s="2"/>
      <c r="M17" s="2"/>
      <c r="N17" s="8" t="str">
        <f t="shared" si="0"/>
        <v/>
      </c>
      <c r="O17" s="2"/>
      <c r="P17" s="2"/>
      <c r="Q17" s="2"/>
      <c r="R17" s="2"/>
      <c r="S17" s="2" t="str">
        <f t="shared" si="1"/>
        <v>sem preco</v>
      </c>
      <c r="T17" s="2" t="s">
        <v>738</v>
      </c>
    </row>
    <row r="18" spans="1:20" x14ac:dyDescent="0.25">
      <c r="A18" s="2" t="s">
        <v>749</v>
      </c>
      <c r="B18" s="2" t="s">
        <v>49</v>
      </c>
      <c r="C18" s="2" t="s">
        <v>52</v>
      </c>
      <c r="D18" s="2" t="s">
        <v>26</v>
      </c>
      <c r="E18" s="3">
        <v>41805</v>
      </c>
      <c r="F18" s="2"/>
      <c r="G18" s="7"/>
      <c r="H18" s="2"/>
      <c r="I18" s="2"/>
      <c r="J18" s="2"/>
      <c r="K18" s="2" t="s">
        <v>312</v>
      </c>
      <c r="L18" s="2"/>
      <c r="M18" s="2"/>
      <c r="N18" s="8" t="str">
        <f t="shared" si="0"/>
        <v/>
      </c>
      <c r="O18" s="2"/>
      <c r="P18" s="2"/>
      <c r="Q18" s="2"/>
      <c r="R18" s="2"/>
      <c r="S18" s="2" t="str">
        <f t="shared" si="1"/>
        <v>sem preco</v>
      </c>
      <c r="T18" s="2" t="s">
        <v>738</v>
      </c>
    </row>
    <row r="19" spans="1:20" x14ac:dyDescent="0.25">
      <c r="A19" s="2" t="s">
        <v>750</v>
      </c>
      <c r="B19" s="2" t="s">
        <v>49</v>
      </c>
      <c r="C19" s="2" t="s">
        <v>53</v>
      </c>
      <c r="D19" s="2" t="s">
        <v>43</v>
      </c>
      <c r="E19" s="3">
        <v>22214</v>
      </c>
      <c r="F19" s="2"/>
      <c r="G19" s="7"/>
      <c r="H19" s="2"/>
      <c r="I19" s="2"/>
      <c r="J19" s="2"/>
      <c r="K19" s="2" t="s">
        <v>307</v>
      </c>
      <c r="L19" s="2"/>
      <c r="M19" s="2"/>
      <c r="N19" s="8" t="str">
        <f t="shared" si="0"/>
        <v/>
      </c>
      <c r="O19" s="2"/>
      <c r="P19" s="2"/>
      <c r="Q19" s="2"/>
      <c r="R19" s="2"/>
      <c r="S19" s="2" t="str">
        <f t="shared" si="1"/>
        <v>sem preco</v>
      </c>
      <c r="T19" s="2" t="s">
        <v>738</v>
      </c>
    </row>
    <row r="20" spans="1:20" x14ac:dyDescent="0.25">
      <c r="A20" s="2" t="s">
        <v>751</v>
      </c>
      <c r="B20" s="2" t="s">
        <v>49</v>
      </c>
      <c r="C20" s="2" t="s">
        <v>55</v>
      </c>
      <c r="D20" s="2" t="s">
        <v>21</v>
      </c>
      <c r="E20" s="3">
        <v>3344</v>
      </c>
      <c r="F20" s="2"/>
      <c r="G20" s="7"/>
      <c r="H20" s="2"/>
      <c r="I20" s="2"/>
      <c r="J20" s="2"/>
      <c r="K20" s="2"/>
      <c r="L20" s="2"/>
      <c r="M20" s="2"/>
      <c r="N20" s="8" t="str">
        <f t="shared" si="0"/>
        <v/>
      </c>
      <c r="O20" s="2"/>
      <c r="P20" s="2"/>
      <c r="Q20" s="2"/>
      <c r="R20" s="2"/>
      <c r="S20" s="2" t="str">
        <f t="shared" si="1"/>
        <v>sem preco</v>
      </c>
      <c r="T20" s="2" t="s">
        <v>738</v>
      </c>
    </row>
    <row r="21" spans="1:20" x14ac:dyDescent="0.25">
      <c r="A21" s="2" t="s">
        <v>752</v>
      </c>
      <c r="B21" s="2" t="s">
        <v>49</v>
      </c>
      <c r="C21" s="2" t="s">
        <v>57</v>
      </c>
      <c r="D21" s="2" t="s">
        <v>58</v>
      </c>
      <c r="E21" s="3">
        <v>82</v>
      </c>
      <c r="F21" s="2"/>
      <c r="G21" s="7"/>
      <c r="H21" s="2"/>
      <c r="I21" s="2"/>
      <c r="J21" s="2"/>
      <c r="K21" s="2" t="s">
        <v>307</v>
      </c>
      <c r="L21" s="2"/>
      <c r="M21" s="2"/>
      <c r="N21" s="8" t="str">
        <f t="shared" si="0"/>
        <v/>
      </c>
      <c r="O21" s="2"/>
      <c r="P21" s="2"/>
      <c r="Q21" s="2"/>
      <c r="R21" s="2"/>
      <c r="S21" s="2" t="str">
        <f t="shared" si="1"/>
        <v>sem preco</v>
      </c>
      <c r="T21" s="2" t="s">
        <v>738</v>
      </c>
    </row>
    <row r="22" spans="1:20" x14ac:dyDescent="0.25">
      <c r="A22" s="2" t="s">
        <v>753</v>
      </c>
      <c r="B22" s="2" t="s">
        <v>60</v>
      </c>
      <c r="C22" s="2" t="s">
        <v>61</v>
      </c>
      <c r="D22" s="2" t="s">
        <v>15</v>
      </c>
      <c r="E22" s="3">
        <v>26732</v>
      </c>
      <c r="F22" s="2"/>
      <c r="G22" s="7"/>
      <c r="H22" s="2"/>
      <c r="I22" s="2"/>
      <c r="J22" s="2"/>
      <c r="K22" s="2" t="s">
        <v>307</v>
      </c>
      <c r="L22" s="2"/>
      <c r="M22" s="2"/>
      <c r="N22" s="8" t="str">
        <f t="shared" si="0"/>
        <v/>
      </c>
      <c r="O22" s="2"/>
      <c r="P22" s="2"/>
      <c r="Q22" s="2"/>
      <c r="R22" s="2"/>
      <c r="S22" s="2" t="str">
        <f t="shared" si="1"/>
        <v>sem preco</v>
      </c>
      <c r="T22" s="2" t="s">
        <v>738</v>
      </c>
    </row>
    <row r="23" spans="1:20" x14ac:dyDescent="0.25">
      <c r="A23" s="2" t="s">
        <v>754</v>
      </c>
      <c r="B23" s="2" t="s">
        <v>60</v>
      </c>
      <c r="C23" s="2" t="s">
        <v>63</v>
      </c>
      <c r="D23" s="2" t="s">
        <v>26</v>
      </c>
      <c r="E23" s="3">
        <v>22299</v>
      </c>
      <c r="F23" s="2"/>
      <c r="G23" s="7"/>
      <c r="H23" s="2"/>
      <c r="I23" s="2"/>
      <c r="J23" s="2"/>
      <c r="K23" s="2" t="s">
        <v>312</v>
      </c>
      <c r="L23" s="2"/>
      <c r="M23" s="2"/>
      <c r="N23" s="8" t="str">
        <f t="shared" si="0"/>
        <v/>
      </c>
      <c r="O23" s="2"/>
      <c r="P23" s="2"/>
      <c r="Q23" s="2"/>
      <c r="R23" s="2"/>
      <c r="S23" s="2" t="str">
        <f t="shared" si="1"/>
        <v>sem preco</v>
      </c>
      <c r="T23" s="2" t="s">
        <v>738</v>
      </c>
    </row>
    <row r="24" spans="1:20" x14ac:dyDescent="0.25">
      <c r="A24" s="2" t="s">
        <v>755</v>
      </c>
      <c r="B24" s="2" t="s">
        <v>60</v>
      </c>
      <c r="C24" s="2" t="s">
        <v>64</v>
      </c>
      <c r="D24" s="2" t="s">
        <v>26</v>
      </c>
      <c r="E24" s="3">
        <v>20669</v>
      </c>
      <c r="F24" s="2"/>
      <c r="G24" s="7"/>
      <c r="H24" s="2"/>
      <c r="I24" s="2"/>
      <c r="J24" s="2"/>
      <c r="K24" s="2"/>
      <c r="L24" s="2"/>
      <c r="M24" s="2"/>
      <c r="N24" s="8" t="str">
        <f t="shared" si="0"/>
        <v/>
      </c>
      <c r="O24" s="2"/>
      <c r="P24" s="2"/>
      <c r="Q24" s="2"/>
      <c r="R24" s="2"/>
      <c r="S24" s="2" t="str">
        <f t="shared" si="1"/>
        <v>sem preco</v>
      </c>
      <c r="T24" s="2" t="s">
        <v>738</v>
      </c>
    </row>
    <row r="25" spans="1:20" x14ac:dyDescent="0.25">
      <c r="A25" s="2" t="s">
        <v>756</v>
      </c>
      <c r="B25" s="2" t="s">
        <v>60</v>
      </c>
      <c r="C25" s="2" t="s">
        <v>66</v>
      </c>
      <c r="D25" s="2" t="s">
        <v>43</v>
      </c>
      <c r="E25" s="3">
        <v>14686</v>
      </c>
      <c r="F25" s="2"/>
      <c r="G25" s="7"/>
      <c r="H25" s="2"/>
      <c r="I25" s="2"/>
      <c r="J25" s="2"/>
      <c r="K25" s="2" t="s">
        <v>307</v>
      </c>
      <c r="L25" s="2"/>
      <c r="M25" s="2"/>
      <c r="N25" s="8" t="str">
        <f t="shared" si="0"/>
        <v/>
      </c>
      <c r="O25" s="2"/>
      <c r="P25" s="2"/>
      <c r="Q25" s="2"/>
      <c r="R25" s="2"/>
      <c r="S25" s="2" t="str">
        <f t="shared" si="1"/>
        <v>sem preco</v>
      </c>
      <c r="T25" s="2" t="s">
        <v>738</v>
      </c>
    </row>
    <row r="26" spans="1:20" x14ac:dyDescent="0.25">
      <c r="A26" s="2" t="s">
        <v>757</v>
      </c>
      <c r="B26" s="2" t="s">
        <v>60</v>
      </c>
      <c r="C26" s="2" t="s">
        <v>68</v>
      </c>
      <c r="D26" s="2" t="s">
        <v>26</v>
      </c>
      <c r="E26" s="3">
        <v>7737</v>
      </c>
      <c r="F26" s="2"/>
      <c r="G26" s="7"/>
      <c r="H26" s="2"/>
      <c r="I26" s="2"/>
      <c r="J26" s="2"/>
      <c r="K26" s="2"/>
      <c r="L26" s="2"/>
      <c r="M26" s="2"/>
      <c r="N26" s="8" t="str">
        <f t="shared" si="0"/>
        <v/>
      </c>
      <c r="O26" s="2"/>
      <c r="P26" s="2"/>
      <c r="Q26" s="2"/>
      <c r="R26" s="2"/>
      <c r="S26" s="2" t="str">
        <f t="shared" si="1"/>
        <v>sem preco</v>
      </c>
      <c r="T26" s="2" t="s">
        <v>738</v>
      </c>
    </row>
    <row r="27" spans="1:20" x14ac:dyDescent="0.25">
      <c r="A27" s="2" t="s">
        <v>758</v>
      </c>
      <c r="B27" s="2" t="s">
        <v>70</v>
      </c>
      <c r="C27" s="2" t="s">
        <v>71</v>
      </c>
      <c r="D27" s="2" t="s">
        <v>21</v>
      </c>
      <c r="E27" s="3">
        <v>34946</v>
      </c>
      <c r="F27" s="2"/>
      <c r="G27" s="7"/>
      <c r="H27" s="2"/>
      <c r="I27" s="2"/>
      <c r="J27" s="2"/>
      <c r="K27" s="2"/>
      <c r="L27" s="2"/>
      <c r="M27" s="2"/>
      <c r="N27" s="8" t="str">
        <f t="shared" si="0"/>
        <v/>
      </c>
      <c r="O27" s="2"/>
      <c r="P27" s="2"/>
      <c r="Q27" s="2"/>
      <c r="R27" s="2"/>
      <c r="S27" s="2" t="str">
        <f t="shared" si="1"/>
        <v>sem preco</v>
      </c>
      <c r="T27" s="2" t="s">
        <v>738</v>
      </c>
    </row>
    <row r="28" spans="1:20" x14ac:dyDescent="0.25">
      <c r="A28" s="2" t="s">
        <v>759</v>
      </c>
      <c r="B28" s="2" t="s">
        <v>70</v>
      </c>
      <c r="C28" s="2" t="s">
        <v>73</v>
      </c>
      <c r="D28" s="2" t="s">
        <v>26</v>
      </c>
      <c r="E28" s="3">
        <v>8642</v>
      </c>
      <c r="F28" s="2"/>
      <c r="G28" s="7"/>
      <c r="H28" s="2"/>
      <c r="I28" s="2"/>
      <c r="J28" s="2"/>
      <c r="K28" s="2"/>
      <c r="L28" s="2"/>
      <c r="M28" s="2"/>
      <c r="N28" s="8" t="str">
        <f t="shared" si="0"/>
        <v/>
      </c>
      <c r="O28" s="2"/>
      <c r="P28" s="2"/>
      <c r="Q28" s="2"/>
      <c r="R28" s="2"/>
      <c r="S28" s="2" t="str">
        <f t="shared" si="1"/>
        <v>sem preco</v>
      </c>
      <c r="T28" s="2" t="s">
        <v>738</v>
      </c>
    </row>
    <row r="29" spans="1:20" x14ac:dyDescent="0.25">
      <c r="A29" s="2" t="s">
        <v>760</v>
      </c>
      <c r="B29" s="2" t="s">
        <v>70</v>
      </c>
      <c r="C29" s="2" t="s">
        <v>75</v>
      </c>
      <c r="D29" s="2" t="s">
        <v>26</v>
      </c>
      <c r="E29" s="3">
        <v>8211</v>
      </c>
      <c r="F29" s="2"/>
      <c r="G29" s="7"/>
      <c r="H29" s="2"/>
      <c r="I29" s="2"/>
      <c r="J29" s="2"/>
      <c r="K29" s="2" t="s">
        <v>312</v>
      </c>
      <c r="L29" s="2"/>
      <c r="M29" s="2"/>
      <c r="N29" s="8" t="str">
        <f t="shared" si="0"/>
        <v/>
      </c>
      <c r="O29" s="2"/>
      <c r="P29" s="2"/>
      <c r="Q29" s="2"/>
      <c r="R29" s="2"/>
      <c r="S29" s="2" t="str">
        <f t="shared" si="1"/>
        <v>sem preco</v>
      </c>
      <c r="T29" s="2" t="s">
        <v>738</v>
      </c>
    </row>
    <row r="30" spans="1:20" x14ac:dyDescent="0.25">
      <c r="A30" s="2" t="s">
        <v>761</v>
      </c>
      <c r="B30" s="2" t="s">
        <v>70</v>
      </c>
      <c r="C30" s="2" t="s">
        <v>76</v>
      </c>
      <c r="D30" s="2" t="s">
        <v>26</v>
      </c>
      <c r="E30" s="3">
        <v>7009</v>
      </c>
      <c r="F30" s="2"/>
      <c r="G30" s="7"/>
      <c r="H30" s="2"/>
      <c r="I30" s="2"/>
      <c r="J30" s="2"/>
      <c r="K30" s="2"/>
      <c r="L30" s="2"/>
      <c r="M30" s="2"/>
      <c r="N30" s="8" t="str">
        <f t="shared" si="0"/>
        <v/>
      </c>
      <c r="O30" s="2"/>
      <c r="P30" s="2"/>
      <c r="Q30" s="2"/>
      <c r="R30" s="2"/>
      <c r="S30" s="2" t="str">
        <f t="shared" si="1"/>
        <v>sem preco</v>
      </c>
      <c r="T30" s="2" t="s">
        <v>738</v>
      </c>
    </row>
    <row r="31" spans="1:20" x14ac:dyDescent="0.25">
      <c r="A31" s="2" t="s">
        <v>762</v>
      </c>
      <c r="B31" s="2" t="s">
        <v>70</v>
      </c>
      <c r="C31" s="2" t="s">
        <v>78</v>
      </c>
      <c r="D31" s="2" t="s">
        <v>58</v>
      </c>
      <c r="E31" s="3">
        <v>6742</v>
      </c>
      <c r="F31" s="2"/>
      <c r="G31" s="7"/>
      <c r="H31" s="2"/>
      <c r="I31" s="2"/>
      <c r="J31" s="2"/>
      <c r="K31" s="2"/>
      <c r="L31" s="2"/>
      <c r="M31" s="2"/>
      <c r="N31" s="8" t="str">
        <f t="shared" si="0"/>
        <v/>
      </c>
      <c r="O31" s="2"/>
      <c r="P31" s="2"/>
      <c r="Q31" s="2"/>
      <c r="R31" s="2"/>
      <c r="S31" s="2" t="str">
        <f t="shared" si="1"/>
        <v>sem preco</v>
      </c>
      <c r="T31" s="2" t="s">
        <v>738</v>
      </c>
    </row>
    <row r="32" spans="1:20" x14ac:dyDescent="0.25">
      <c r="A32" s="2" t="s">
        <v>763</v>
      </c>
      <c r="B32" s="2" t="s">
        <v>80</v>
      </c>
      <c r="C32" s="2" t="s">
        <v>81</v>
      </c>
      <c r="D32" s="2" t="s">
        <v>26</v>
      </c>
      <c r="E32" s="3">
        <v>31886</v>
      </c>
      <c r="F32" s="2"/>
      <c r="G32" s="7"/>
      <c r="H32" s="2"/>
      <c r="I32" s="2"/>
      <c r="J32" s="2"/>
      <c r="K32" s="2" t="s">
        <v>312</v>
      </c>
      <c r="L32" s="2"/>
      <c r="M32" s="2"/>
      <c r="N32" s="8" t="str">
        <f t="shared" si="0"/>
        <v/>
      </c>
      <c r="O32" s="2"/>
      <c r="P32" s="2"/>
      <c r="Q32" s="2"/>
      <c r="R32" s="2"/>
      <c r="S32" s="2" t="str">
        <f t="shared" si="1"/>
        <v>sem preco</v>
      </c>
      <c r="T32" s="2" t="s">
        <v>738</v>
      </c>
    </row>
    <row r="33" spans="1:20" x14ac:dyDescent="0.25">
      <c r="A33" s="2" t="s">
        <v>764</v>
      </c>
      <c r="B33" s="2" t="s">
        <v>80</v>
      </c>
      <c r="C33" s="2" t="s">
        <v>83</v>
      </c>
      <c r="D33" s="2" t="s">
        <v>26</v>
      </c>
      <c r="E33" s="3">
        <v>23989</v>
      </c>
      <c r="F33" s="2"/>
      <c r="G33" s="7"/>
      <c r="H33" s="2"/>
      <c r="I33" s="2"/>
      <c r="J33" s="2"/>
      <c r="K33" s="2" t="s">
        <v>312</v>
      </c>
      <c r="L33" s="2"/>
      <c r="M33" s="2"/>
      <c r="N33" s="8" t="str">
        <f t="shared" si="0"/>
        <v/>
      </c>
      <c r="O33" s="2"/>
      <c r="P33" s="2"/>
      <c r="Q33" s="2"/>
      <c r="R33" s="2"/>
      <c r="S33" s="2" t="str">
        <f t="shared" si="1"/>
        <v>sem preco</v>
      </c>
      <c r="T33" s="2" t="s">
        <v>738</v>
      </c>
    </row>
    <row r="34" spans="1:20" x14ac:dyDescent="0.25">
      <c r="A34" s="2" t="s">
        <v>765</v>
      </c>
      <c r="B34" s="2" t="s">
        <v>80</v>
      </c>
      <c r="C34" s="2" t="s">
        <v>84</v>
      </c>
      <c r="D34" s="2" t="s">
        <v>26</v>
      </c>
      <c r="E34" s="3">
        <v>9499</v>
      </c>
      <c r="F34" s="2"/>
      <c r="G34" s="7"/>
      <c r="H34" s="2"/>
      <c r="I34" s="2"/>
      <c r="J34" s="2"/>
      <c r="K34" s="2" t="s">
        <v>312</v>
      </c>
      <c r="L34" s="2"/>
      <c r="M34" s="2"/>
      <c r="N34" s="8" t="str">
        <f t="shared" ref="N34:N65" si="2">IF(OR($G34="",AND($K34="sim",$M34="")),"",$G34+IF($M34="",0,$M34))</f>
        <v/>
      </c>
      <c r="O34" s="2"/>
      <c r="P34" s="2"/>
      <c r="Q34" s="2"/>
      <c r="R34" s="2"/>
      <c r="S34" s="2" t="str">
        <f t="shared" ref="S34:S65" si="3">IF($G34="","sem preco",IF(AND($K34="sim",$M34=""),"so dianteiro","completo"))</f>
        <v>sem preco</v>
      </c>
      <c r="T34" s="2" t="s">
        <v>738</v>
      </c>
    </row>
    <row r="35" spans="1:20" x14ac:dyDescent="0.25">
      <c r="A35" s="2" t="s">
        <v>766</v>
      </c>
      <c r="B35" s="2" t="s">
        <v>85</v>
      </c>
      <c r="C35" s="2" t="s">
        <v>86</v>
      </c>
      <c r="D35" s="2" t="s">
        <v>21</v>
      </c>
      <c r="E35" s="3">
        <v>42930</v>
      </c>
      <c r="F35" s="2"/>
      <c r="G35" s="7"/>
      <c r="H35" s="2"/>
      <c r="I35" s="2"/>
      <c r="J35" s="2"/>
      <c r="K35" s="2" t="s">
        <v>312</v>
      </c>
      <c r="L35" s="2"/>
      <c r="M35" s="2"/>
      <c r="N35" s="8" t="str">
        <f t="shared" si="2"/>
        <v/>
      </c>
      <c r="O35" s="2"/>
      <c r="P35" s="2"/>
      <c r="Q35" s="2"/>
      <c r="R35" s="2"/>
      <c r="S35" s="2" t="str">
        <f t="shared" si="3"/>
        <v>sem preco</v>
      </c>
      <c r="T35" s="2" t="s">
        <v>738</v>
      </c>
    </row>
    <row r="36" spans="1:20" x14ac:dyDescent="0.25">
      <c r="A36" s="2" t="s">
        <v>767</v>
      </c>
      <c r="B36" s="2" t="s">
        <v>85</v>
      </c>
      <c r="C36" s="2" t="s">
        <v>88</v>
      </c>
      <c r="D36" s="2" t="s">
        <v>26</v>
      </c>
      <c r="E36" s="3">
        <v>38352</v>
      </c>
      <c r="F36" s="2"/>
      <c r="G36" s="7"/>
      <c r="H36" s="2"/>
      <c r="I36" s="2"/>
      <c r="J36" s="2"/>
      <c r="K36" s="2" t="s">
        <v>312</v>
      </c>
      <c r="L36" s="2"/>
      <c r="M36" s="2"/>
      <c r="N36" s="8" t="str">
        <f t="shared" si="2"/>
        <v/>
      </c>
      <c r="O36" s="2"/>
      <c r="P36" s="2"/>
      <c r="Q36" s="2"/>
      <c r="R36" s="2"/>
      <c r="S36" s="2" t="str">
        <f t="shared" si="3"/>
        <v>sem preco</v>
      </c>
      <c r="T36" s="2" t="s">
        <v>738</v>
      </c>
    </row>
    <row r="37" spans="1:20" x14ac:dyDescent="0.25">
      <c r="A37" s="2" t="s">
        <v>768</v>
      </c>
      <c r="B37" s="2" t="s">
        <v>85</v>
      </c>
      <c r="C37" s="2" t="s">
        <v>90</v>
      </c>
      <c r="D37" s="2" t="s">
        <v>21</v>
      </c>
      <c r="E37" s="3">
        <v>24533</v>
      </c>
      <c r="F37" s="2"/>
      <c r="G37" s="7"/>
      <c r="H37" s="2"/>
      <c r="I37" s="2"/>
      <c r="J37" s="2"/>
      <c r="K37" s="2" t="s">
        <v>312</v>
      </c>
      <c r="L37" s="2"/>
      <c r="M37" s="2"/>
      <c r="N37" s="8" t="str">
        <f t="shared" si="2"/>
        <v/>
      </c>
      <c r="O37" s="2"/>
      <c r="P37" s="2"/>
      <c r="Q37" s="2"/>
      <c r="R37" s="2"/>
      <c r="S37" s="2" t="str">
        <f t="shared" si="3"/>
        <v>sem preco</v>
      </c>
      <c r="T37" s="2" t="s">
        <v>738</v>
      </c>
    </row>
    <row r="38" spans="1:20" x14ac:dyDescent="0.25">
      <c r="A38" s="2" t="s">
        <v>769</v>
      </c>
      <c r="B38" s="2" t="s">
        <v>85</v>
      </c>
      <c r="C38" s="2" t="s">
        <v>91</v>
      </c>
      <c r="D38" s="2" t="s">
        <v>43</v>
      </c>
      <c r="E38" s="3">
        <v>9801</v>
      </c>
      <c r="F38" s="2"/>
      <c r="G38" s="7"/>
      <c r="H38" s="2"/>
      <c r="I38" s="2"/>
      <c r="J38" s="2"/>
      <c r="K38" s="2" t="s">
        <v>307</v>
      </c>
      <c r="L38" s="2"/>
      <c r="M38" s="2"/>
      <c r="N38" s="8" t="str">
        <f t="shared" si="2"/>
        <v/>
      </c>
      <c r="O38" s="2"/>
      <c r="P38" s="2"/>
      <c r="Q38" s="2"/>
      <c r="R38" s="2"/>
      <c r="S38" s="2" t="str">
        <f t="shared" si="3"/>
        <v>sem preco</v>
      </c>
      <c r="T38" s="2" t="s">
        <v>738</v>
      </c>
    </row>
    <row r="39" spans="1:20" x14ac:dyDescent="0.25">
      <c r="A39" s="2" t="s">
        <v>770</v>
      </c>
      <c r="B39" s="2" t="s">
        <v>85</v>
      </c>
      <c r="C39" s="2" t="s">
        <v>92</v>
      </c>
      <c r="D39" s="2" t="s">
        <v>26</v>
      </c>
      <c r="E39" s="3">
        <v>4076</v>
      </c>
      <c r="F39" s="2"/>
      <c r="G39" s="7"/>
      <c r="H39" s="2"/>
      <c r="I39" s="2"/>
      <c r="J39" s="2"/>
      <c r="K39" s="2" t="s">
        <v>312</v>
      </c>
      <c r="L39" s="2"/>
      <c r="M39" s="2"/>
      <c r="N39" s="8" t="str">
        <f t="shared" si="2"/>
        <v/>
      </c>
      <c r="O39" s="2"/>
      <c r="P39" s="2"/>
      <c r="Q39" s="2"/>
      <c r="R39" s="2"/>
      <c r="S39" s="2" t="str">
        <f t="shared" si="3"/>
        <v>sem preco</v>
      </c>
      <c r="T39" s="2" t="s">
        <v>738</v>
      </c>
    </row>
    <row r="40" spans="1:20" x14ac:dyDescent="0.25">
      <c r="A40" s="2" t="s">
        <v>771</v>
      </c>
      <c r="B40" s="2" t="s">
        <v>93</v>
      </c>
      <c r="C40" s="2" t="s">
        <v>94</v>
      </c>
      <c r="D40" s="2" t="s">
        <v>26</v>
      </c>
      <c r="E40" s="3">
        <v>26366</v>
      </c>
      <c r="F40" s="2"/>
      <c r="G40" s="7"/>
      <c r="H40" s="2"/>
      <c r="I40" s="2"/>
      <c r="J40" s="2"/>
      <c r="K40" s="2" t="s">
        <v>312</v>
      </c>
      <c r="L40" s="2"/>
      <c r="M40" s="2"/>
      <c r="N40" s="8" t="str">
        <f t="shared" si="2"/>
        <v/>
      </c>
      <c r="O40" s="2"/>
      <c r="P40" s="2"/>
      <c r="Q40" s="2"/>
      <c r="R40" s="2"/>
      <c r="S40" s="2" t="str">
        <f t="shared" si="3"/>
        <v>sem preco</v>
      </c>
      <c r="T40" s="2" t="s">
        <v>738</v>
      </c>
    </row>
    <row r="41" spans="1:20" x14ac:dyDescent="0.25">
      <c r="A41" s="2" t="s">
        <v>772</v>
      </c>
      <c r="B41" s="2" t="s">
        <v>93</v>
      </c>
      <c r="C41" s="2" t="s">
        <v>96</v>
      </c>
      <c r="D41" s="2" t="s">
        <v>26</v>
      </c>
      <c r="E41" s="3">
        <v>20706</v>
      </c>
      <c r="F41" s="2"/>
      <c r="G41" s="7"/>
      <c r="H41" s="2"/>
      <c r="I41" s="2"/>
      <c r="J41" s="2"/>
      <c r="K41" s="2"/>
      <c r="L41" s="2"/>
      <c r="M41" s="2"/>
      <c r="N41" s="8" t="str">
        <f t="shared" si="2"/>
        <v/>
      </c>
      <c r="O41" s="2"/>
      <c r="P41" s="2"/>
      <c r="Q41" s="2"/>
      <c r="R41" s="2"/>
      <c r="S41" s="2" t="str">
        <f t="shared" si="3"/>
        <v>sem preco</v>
      </c>
      <c r="T41" s="2" t="s">
        <v>738</v>
      </c>
    </row>
    <row r="42" spans="1:20" x14ac:dyDescent="0.25">
      <c r="A42" s="2" t="s">
        <v>773</v>
      </c>
      <c r="B42" s="2" t="s">
        <v>93</v>
      </c>
      <c r="C42" s="2" t="s">
        <v>98</v>
      </c>
      <c r="D42" s="2" t="s">
        <v>43</v>
      </c>
      <c r="E42" s="3">
        <v>8902</v>
      </c>
      <c r="F42" s="2"/>
      <c r="G42" s="7"/>
      <c r="H42" s="2"/>
      <c r="I42" s="2"/>
      <c r="J42" s="2"/>
      <c r="K42" s="2" t="s">
        <v>307</v>
      </c>
      <c r="L42" s="2"/>
      <c r="M42" s="2"/>
      <c r="N42" s="8" t="str">
        <f t="shared" si="2"/>
        <v/>
      </c>
      <c r="O42" s="2"/>
      <c r="P42" s="2"/>
      <c r="Q42" s="2"/>
      <c r="R42" s="2"/>
      <c r="S42" s="2" t="str">
        <f t="shared" si="3"/>
        <v>sem preco</v>
      </c>
      <c r="T42" s="2" t="s">
        <v>738</v>
      </c>
    </row>
    <row r="43" spans="1:20" x14ac:dyDescent="0.25">
      <c r="A43" s="2" t="s">
        <v>774</v>
      </c>
      <c r="B43" s="2" t="s">
        <v>93</v>
      </c>
      <c r="C43" s="2" t="s">
        <v>100</v>
      </c>
      <c r="D43" s="2" t="s">
        <v>21</v>
      </c>
      <c r="E43" s="3">
        <v>7079</v>
      </c>
      <c r="F43" s="2"/>
      <c r="G43" s="7"/>
      <c r="H43" s="2"/>
      <c r="I43" s="2"/>
      <c r="J43" s="2"/>
      <c r="K43" s="2"/>
      <c r="L43" s="2"/>
      <c r="M43" s="2"/>
      <c r="N43" s="8" t="str">
        <f t="shared" si="2"/>
        <v/>
      </c>
      <c r="O43" s="2"/>
      <c r="P43" s="2"/>
      <c r="Q43" s="2"/>
      <c r="R43" s="2"/>
      <c r="S43" s="2" t="str">
        <f t="shared" si="3"/>
        <v>sem preco</v>
      </c>
      <c r="T43" s="2" t="s">
        <v>738</v>
      </c>
    </row>
    <row r="44" spans="1:20" x14ac:dyDescent="0.25">
      <c r="A44" s="2" t="s">
        <v>775</v>
      </c>
      <c r="B44" s="2" t="s">
        <v>93</v>
      </c>
      <c r="C44" s="2" t="s">
        <v>102</v>
      </c>
      <c r="D44" s="2" t="s">
        <v>43</v>
      </c>
      <c r="E44" s="3">
        <v>34</v>
      </c>
      <c r="F44" s="2"/>
      <c r="G44" s="7"/>
      <c r="H44" s="2"/>
      <c r="I44" s="2"/>
      <c r="J44" s="2"/>
      <c r="K44" s="2" t="s">
        <v>307</v>
      </c>
      <c r="L44" s="2"/>
      <c r="M44" s="2"/>
      <c r="N44" s="8" t="str">
        <f t="shared" si="2"/>
        <v/>
      </c>
      <c r="O44" s="2"/>
      <c r="P44" s="2"/>
      <c r="Q44" s="2"/>
      <c r="R44" s="2"/>
      <c r="S44" s="2" t="str">
        <f t="shared" si="3"/>
        <v>sem preco</v>
      </c>
      <c r="T44" s="2" t="s">
        <v>738</v>
      </c>
    </row>
    <row r="45" spans="1:20" x14ac:dyDescent="0.25">
      <c r="A45" s="2" t="s">
        <v>776</v>
      </c>
      <c r="B45" s="2" t="s">
        <v>104</v>
      </c>
      <c r="C45" s="2" t="s">
        <v>105</v>
      </c>
      <c r="D45" s="2" t="s">
        <v>26</v>
      </c>
      <c r="E45" s="3">
        <v>19797</v>
      </c>
      <c r="F45" s="2"/>
      <c r="G45" s="7"/>
      <c r="H45" s="2"/>
      <c r="I45" s="2"/>
      <c r="J45" s="2"/>
      <c r="K45" s="2"/>
      <c r="L45" s="2"/>
      <c r="M45" s="2"/>
      <c r="N45" s="8" t="str">
        <f t="shared" si="2"/>
        <v/>
      </c>
      <c r="O45" s="2"/>
      <c r="P45" s="2"/>
      <c r="Q45" s="2"/>
      <c r="R45" s="2"/>
      <c r="S45" s="2" t="str">
        <f t="shared" si="3"/>
        <v>sem preco</v>
      </c>
      <c r="T45" s="2" t="s">
        <v>738</v>
      </c>
    </row>
    <row r="46" spans="1:20" x14ac:dyDescent="0.25">
      <c r="A46" s="2" t="s">
        <v>777</v>
      </c>
      <c r="B46" s="2" t="s">
        <v>104</v>
      </c>
      <c r="C46" s="2" t="s">
        <v>107</v>
      </c>
      <c r="D46" s="2" t="s">
        <v>26</v>
      </c>
      <c r="E46" s="3">
        <v>18098</v>
      </c>
      <c r="F46" s="2"/>
      <c r="G46" s="7"/>
      <c r="H46" s="2"/>
      <c r="I46" s="2"/>
      <c r="J46" s="2"/>
      <c r="K46" s="2"/>
      <c r="L46" s="2"/>
      <c r="M46" s="2"/>
      <c r="N46" s="8" t="str">
        <f t="shared" si="2"/>
        <v/>
      </c>
      <c r="O46" s="2"/>
      <c r="P46" s="2"/>
      <c r="Q46" s="2"/>
      <c r="R46" s="2"/>
      <c r="S46" s="2" t="str">
        <f t="shared" si="3"/>
        <v>sem preco</v>
      </c>
      <c r="T46" s="2" t="s">
        <v>738</v>
      </c>
    </row>
    <row r="47" spans="1:20" x14ac:dyDescent="0.25">
      <c r="A47" s="2" t="s">
        <v>778</v>
      </c>
      <c r="B47" s="2" t="s">
        <v>104</v>
      </c>
      <c r="C47" s="2" t="s">
        <v>109</v>
      </c>
      <c r="D47" s="2" t="s">
        <v>43</v>
      </c>
      <c r="E47" s="3">
        <v>4241</v>
      </c>
      <c r="F47" s="2"/>
      <c r="G47" s="7"/>
      <c r="H47" s="2"/>
      <c r="I47" s="2"/>
      <c r="J47" s="2"/>
      <c r="K47" s="2" t="s">
        <v>307</v>
      </c>
      <c r="L47" s="2"/>
      <c r="M47" s="2"/>
      <c r="N47" s="8" t="str">
        <f t="shared" si="2"/>
        <v/>
      </c>
      <c r="O47" s="2"/>
      <c r="P47" s="2"/>
      <c r="Q47" s="2"/>
      <c r="R47" s="2"/>
      <c r="S47" s="2" t="str">
        <f t="shared" si="3"/>
        <v>sem preco</v>
      </c>
      <c r="T47" s="2" t="s">
        <v>738</v>
      </c>
    </row>
    <row r="48" spans="1:20" x14ac:dyDescent="0.25">
      <c r="A48" s="2" t="s">
        <v>779</v>
      </c>
      <c r="B48" s="2" t="s">
        <v>104</v>
      </c>
      <c r="C48" s="2" t="s">
        <v>111</v>
      </c>
      <c r="D48" s="2" t="s">
        <v>15</v>
      </c>
      <c r="E48" s="3">
        <v>1002</v>
      </c>
      <c r="F48" s="2"/>
      <c r="G48" s="7"/>
      <c r="H48" s="2"/>
      <c r="I48" s="2"/>
      <c r="J48" s="2"/>
      <c r="K48" s="2" t="s">
        <v>307</v>
      </c>
      <c r="L48" s="2"/>
      <c r="M48" s="2"/>
      <c r="N48" s="8" t="str">
        <f t="shared" si="2"/>
        <v/>
      </c>
      <c r="O48" s="2"/>
      <c r="P48" s="2"/>
      <c r="Q48" s="2"/>
      <c r="R48" s="2"/>
      <c r="S48" s="2" t="str">
        <f t="shared" si="3"/>
        <v>sem preco</v>
      </c>
      <c r="T48" s="2" t="s">
        <v>738</v>
      </c>
    </row>
    <row r="49" spans="1:20" x14ac:dyDescent="0.25">
      <c r="A49" s="2" t="s">
        <v>780</v>
      </c>
      <c r="B49" s="2" t="s">
        <v>104</v>
      </c>
      <c r="C49" s="2" t="s">
        <v>112</v>
      </c>
      <c r="D49" s="2" t="s">
        <v>43</v>
      </c>
      <c r="E49" s="3">
        <v>355</v>
      </c>
      <c r="F49" s="2"/>
      <c r="G49" s="7"/>
      <c r="H49" s="2"/>
      <c r="I49" s="2"/>
      <c r="J49" s="2"/>
      <c r="K49" s="2" t="s">
        <v>307</v>
      </c>
      <c r="L49" s="2"/>
      <c r="M49" s="2"/>
      <c r="N49" s="8" t="str">
        <f t="shared" si="2"/>
        <v/>
      </c>
      <c r="O49" s="2"/>
      <c r="P49" s="2"/>
      <c r="Q49" s="2"/>
      <c r="R49" s="2"/>
      <c r="S49" s="2" t="str">
        <f t="shared" si="3"/>
        <v>sem preco</v>
      </c>
      <c r="T49" s="2" t="s">
        <v>738</v>
      </c>
    </row>
    <row r="50" spans="1:20" x14ac:dyDescent="0.25">
      <c r="A50" s="2" t="s">
        <v>781</v>
      </c>
      <c r="B50" s="2" t="s">
        <v>113</v>
      </c>
      <c r="C50" s="2" t="s">
        <v>114</v>
      </c>
      <c r="D50" s="2" t="s">
        <v>26</v>
      </c>
      <c r="E50" s="3">
        <v>19634</v>
      </c>
      <c r="F50" s="2"/>
      <c r="G50" s="7"/>
      <c r="H50" s="2"/>
      <c r="I50" s="2"/>
      <c r="J50" s="2"/>
      <c r="K50" s="2" t="s">
        <v>312</v>
      </c>
      <c r="L50" s="2"/>
      <c r="M50" s="2"/>
      <c r="N50" s="8" t="str">
        <f t="shared" si="2"/>
        <v/>
      </c>
      <c r="O50" s="2"/>
      <c r="P50" s="2"/>
      <c r="Q50" s="2"/>
      <c r="R50" s="2"/>
      <c r="S50" s="2" t="str">
        <f t="shared" si="3"/>
        <v>sem preco</v>
      </c>
      <c r="T50" s="2" t="s">
        <v>738</v>
      </c>
    </row>
    <row r="51" spans="1:20" x14ac:dyDescent="0.25">
      <c r="A51" s="2" t="s">
        <v>782</v>
      </c>
      <c r="B51" s="2" t="s">
        <v>113</v>
      </c>
      <c r="C51" s="2" t="s">
        <v>116</v>
      </c>
      <c r="D51" s="2" t="s">
        <v>26</v>
      </c>
      <c r="E51" s="3">
        <v>16640</v>
      </c>
      <c r="F51" s="2"/>
      <c r="G51" s="7"/>
      <c r="H51" s="2"/>
      <c r="I51" s="2"/>
      <c r="J51" s="2"/>
      <c r="K51" s="2" t="s">
        <v>312</v>
      </c>
      <c r="L51" s="2"/>
      <c r="M51" s="2"/>
      <c r="N51" s="8" t="str">
        <f t="shared" si="2"/>
        <v/>
      </c>
      <c r="O51" s="2"/>
      <c r="P51" s="2"/>
      <c r="Q51" s="2"/>
      <c r="R51" s="2"/>
      <c r="S51" s="2" t="str">
        <f t="shared" si="3"/>
        <v>sem preco</v>
      </c>
      <c r="T51" s="2" t="s">
        <v>738</v>
      </c>
    </row>
    <row r="52" spans="1:20" x14ac:dyDescent="0.25">
      <c r="A52" s="2" t="s">
        <v>783</v>
      </c>
      <c r="B52" s="2" t="s">
        <v>113</v>
      </c>
      <c r="C52" s="2" t="s">
        <v>117</v>
      </c>
      <c r="D52" s="2" t="s">
        <v>26</v>
      </c>
      <c r="E52" s="3">
        <v>8014</v>
      </c>
      <c r="F52" s="2"/>
      <c r="G52" s="7"/>
      <c r="H52" s="2"/>
      <c r="I52" s="2"/>
      <c r="J52" s="2"/>
      <c r="K52" s="2" t="s">
        <v>312</v>
      </c>
      <c r="L52" s="2"/>
      <c r="M52" s="2"/>
      <c r="N52" s="8" t="str">
        <f t="shared" si="2"/>
        <v/>
      </c>
      <c r="O52" s="2"/>
      <c r="P52" s="2"/>
      <c r="Q52" s="2"/>
      <c r="R52" s="2"/>
      <c r="S52" s="2" t="str">
        <f t="shared" si="3"/>
        <v>sem preco</v>
      </c>
      <c r="T52" s="2" t="s">
        <v>738</v>
      </c>
    </row>
    <row r="53" spans="1:20" x14ac:dyDescent="0.25">
      <c r="A53" s="2" t="s">
        <v>784</v>
      </c>
      <c r="B53" s="2" t="s">
        <v>113</v>
      </c>
      <c r="C53" s="2" t="s">
        <v>118</v>
      </c>
      <c r="D53" s="2" t="s">
        <v>43</v>
      </c>
      <c r="E53" s="3">
        <v>72</v>
      </c>
      <c r="F53" s="2"/>
      <c r="G53" s="7"/>
      <c r="H53" s="2"/>
      <c r="I53" s="2"/>
      <c r="J53" s="2"/>
      <c r="K53" s="2"/>
      <c r="L53" s="2"/>
      <c r="M53" s="2"/>
      <c r="N53" s="8" t="str">
        <f t="shared" si="2"/>
        <v/>
      </c>
      <c r="O53" s="2"/>
      <c r="P53" s="2"/>
      <c r="Q53" s="2"/>
      <c r="R53" s="2"/>
      <c r="S53" s="2" t="str">
        <f t="shared" si="3"/>
        <v>sem preco</v>
      </c>
      <c r="T53" s="2" t="s">
        <v>738</v>
      </c>
    </row>
    <row r="54" spans="1:20" x14ac:dyDescent="0.25">
      <c r="A54" s="2" t="s">
        <v>785</v>
      </c>
      <c r="B54" s="2" t="s">
        <v>120</v>
      </c>
      <c r="C54" s="2" t="s">
        <v>121</v>
      </c>
      <c r="D54" s="2" t="s">
        <v>15</v>
      </c>
      <c r="E54" s="3">
        <v>20370</v>
      </c>
      <c r="F54" s="2"/>
      <c r="G54" s="7"/>
      <c r="H54" s="2"/>
      <c r="I54" s="2"/>
      <c r="J54" s="2"/>
      <c r="K54" s="2" t="s">
        <v>307</v>
      </c>
      <c r="L54" s="2"/>
      <c r="M54" s="2"/>
      <c r="N54" s="8" t="str">
        <f t="shared" si="2"/>
        <v/>
      </c>
      <c r="O54" s="2"/>
      <c r="P54" s="2"/>
      <c r="Q54" s="2"/>
      <c r="R54" s="2"/>
      <c r="S54" s="2" t="str">
        <f t="shared" si="3"/>
        <v>sem preco</v>
      </c>
      <c r="T54" s="2" t="s">
        <v>738</v>
      </c>
    </row>
    <row r="55" spans="1:20" x14ac:dyDescent="0.25">
      <c r="A55" s="2" t="s">
        <v>786</v>
      </c>
      <c r="B55" s="2" t="s">
        <v>120</v>
      </c>
      <c r="C55" s="2" t="s">
        <v>123</v>
      </c>
      <c r="D55" s="2" t="s">
        <v>26</v>
      </c>
      <c r="E55" s="3">
        <v>5666</v>
      </c>
      <c r="F55" s="2"/>
      <c r="G55" s="7"/>
      <c r="H55" s="2"/>
      <c r="I55" s="2"/>
      <c r="J55" s="2"/>
      <c r="K55" s="2" t="s">
        <v>312</v>
      </c>
      <c r="L55" s="2"/>
      <c r="M55" s="2"/>
      <c r="N55" s="8" t="str">
        <f t="shared" si="2"/>
        <v/>
      </c>
      <c r="O55" s="2"/>
      <c r="P55" s="2"/>
      <c r="Q55" s="2"/>
      <c r="R55" s="2"/>
      <c r="S55" s="2" t="str">
        <f t="shared" si="3"/>
        <v>sem preco</v>
      </c>
      <c r="T55" s="2" t="s">
        <v>738</v>
      </c>
    </row>
    <row r="56" spans="1:20" x14ac:dyDescent="0.25">
      <c r="A56" s="2" t="s">
        <v>787</v>
      </c>
      <c r="B56" s="2" t="s">
        <v>120</v>
      </c>
      <c r="C56" s="2" t="s">
        <v>124</v>
      </c>
      <c r="D56" s="2" t="s">
        <v>15</v>
      </c>
      <c r="E56" s="3">
        <v>2607</v>
      </c>
      <c r="F56" s="2"/>
      <c r="G56" s="7"/>
      <c r="H56" s="2"/>
      <c r="I56" s="2"/>
      <c r="J56" s="2"/>
      <c r="K56" s="2" t="s">
        <v>307</v>
      </c>
      <c r="L56" s="2"/>
      <c r="M56" s="2"/>
      <c r="N56" s="8" t="str">
        <f t="shared" si="2"/>
        <v/>
      </c>
      <c r="O56" s="2"/>
      <c r="P56" s="2"/>
      <c r="Q56" s="2"/>
      <c r="R56" s="2"/>
      <c r="S56" s="2" t="str">
        <f t="shared" si="3"/>
        <v>sem preco</v>
      </c>
      <c r="T56" s="2" t="s">
        <v>738</v>
      </c>
    </row>
    <row r="57" spans="1:20" x14ac:dyDescent="0.25">
      <c r="A57" s="2" t="s">
        <v>788</v>
      </c>
      <c r="B57" s="2" t="s">
        <v>120</v>
      </c>
      <c r="C57" s="2" t="s">
        <v>125</v>
      </c>
      <c r="D57" s="2" t="s">
        <v>58</v>
      </c>
      <c r="E57" s="3">
        <v>1402</v>
      </c>
      <c r="F57" s="2"/>
      <c r="G57" s="7"/>
      <c r="H57" s="2"/>
      <c r="I57" s="2"/>
      <c r="J57" s="2"/>
      <c r="K57" s="2"/>
      <c r="L57" s="2"/>
      <c r="M57" s="2"/>
      <c r="N57" s="8" t="str">
        <f t="shared" si="2"/>
        <v/>
      </c>
      <c r="O57" s="2"/>
      <c r="P57" s="2"/>
      <c r="Q57" s="2"/>
      <c r="R57" s="2"/>
      <c r="S57" s="2" t="str">
        <f t="shared" si="3"/>
        <v>sem preco</v>
      </c>
      <c r="T57" s="2" t="s">
        <v>738</v>
      </c>
    </row>
    <row r="58" spans="1:20" x14ac:dyDescent="0.25">
      <c r="A58" s="2" t="s">
        <v>789</v>
      </c>
      <c r="B58" s="2" t="s">
        <v>120</v>
      </c>
      <c r="C58" s="2" t="s">
        <v>127</v>
      </c>
      <c r="D58" s="2" t="s">
        <v>15</v>
      </c>
      <c r="E58" s="3">
        <v>702</v>
      </c>
      <c r="F58" s="2"/>
      <c r="G58" s="7"/>
      <c r="H58" s="2"/>
      <c r="I58" s="2"/>
      <c r="J58" s="2"/>
      <c r="K58" s="2" t="s">
        <v>307</v>
      </c>
      <c r="L58" s="2"/>
      <c r="M58" s="2"/>
      <c r="N58" s="8" t="str">
        <f t="shared" si="2"/>
        <v/>
      </c>
      <c r="O58" s="2"/>
      <c r="P58" s="2"/>
      <c r="Q58" s="2"/>
      <c r="R58" s="2"/>
      <c r="S58" s="2" t="str">
        <f t="shared" si="3"/>
        <v>sem preco</v>
      </c>
      <c r="T58" s="2" t="s">
        <v>738</v>
      </c>
    </row>
    <row r="59" spans="1:20" x14ac:dyDescent="0.25">
      <c r="A59" s="2" t="s">
        <v>790</v>
      </c>
      <c r="B59" s="2" t="s">
        <v>129</v>
      </c>
      <c r="C59" s="2" t="s">
        <v>130</v>
      </c>
      <c r="D59" s="2" t="s">
        <v>26</v>
      </c>
      <c r="E59" s="3">
        <v>25809</v>
      </c>
      <c r="F59" s="2"/>
      <c r="G59" s="7"/>
      <c r="H59" s="2"/>
      <c r="I59" s="2"/>
      <c r="J59" s="2"/>
      <c r="K59" s="2" t="s">
        <v>312</v>
      </c>
      <c r="L59" s="2"/>
      <c r="M59" s="2"/>
      <c r="N59" s="8" t="str">
        <f t="shared" si="2"/>
        <v/>
      </c>
      <c r="O59" s="2"/>
      <c r="P59" s="2"/>
      <c r="Q59" s="2"/>
      <c r="R59" s="2"/>
      <c r="S59" s="2" t="str">
        <f t="shared" si="3"/>
        <v>sem preco</v>
      </c>
      <c r="T59" s="2" t="s">
        <v>738</v>
      </c>
    </row>
    <row r="60" spans="1:20" x14ac:dyDescent="0.25">
      <c r="A60" s="2" t="s">
        <v>791</v>
      </c>
      <c r="B60" s="2" t="s">
        <v>129</v>
      </c>
      <c r="C60" s="2" t="s">
        <v>132</v>
      </c>
      <c r="D60" s="2" t="s">
        <v>26</v>
      </c>
      <c r="E60" s="3">
        <v>7125</v>
      </c>
      <c r="F60" s="2"/>
      <c r="G60" s="7"/>
      <c r="H60" s="2"/>
      <c r="I60" s="2"/>
      <c r="J60" s="2"/>
      <c r="K60" s="2" t="s">
        <v>312</v>
      </c>
      <c r="L60" s="2"/>
      <c r="M60" s="2"/>
      <c r="N60" s="8" t="str">
        <f t="shared" si="2"/>
        <v/>
      </c>
      <c r="O60" s="2"/>
      <c r="P60" s="2"/>
      <c r="Q60" s="2"/>
      <c r="R60" s="2"/>
      <c r="S60" s="2" t="str">
        <f t="shared" si="3"/>
        <v>sem preco</v>
      </c>
      <c r="T60" s="2" t="s">
        <v>738</v>
      </c>
    </row>
    <row r="61" spans="1:20" x14ac:dyDescent="0.25">
      <c r="A61" s="2" t="s">
        <v>792</v>
      </c>
      <c r="B61" s="2" t="s">
        <v>129</v>
      </c>
      <c r="C61" s="2" t="s">
        <v>134</v>
      </c>
      <c r="D61" s="2" t="s">
        <v>15</v>
      </c>
      <c r="E61" s="3">
        <v>3921</v>
      </c>
      <c r="F61" s="2"/>
      <c r="G61" s="7"/>
      <c r="H61" s="2"/>
      <c r="I61" s="2"/>
      <c r="J61" s="2"/>
      <c r="K61" s="2" t="s">
        <v>307</v>
      </c>
      <c r="L61" s="2"/>
      <c r="M61" s="2"/>
      <c r="N61" s="8" t="str">
        <f t="shared" si="2"/>
        <v/>
      </c>
      <c r="O61" s="2"/>
      <c r="P61" s="2"/>
      <c r="Q61" s="2"/>
      <c r="R61" s="2"/>
      <c r="S61" s="2" t="str">
        <f t="shared" si="3"/>
        <v>sem preco</v>
      </c>
      <c r="T61" s="2" t="s">
        <v>738</v>
      </c>
    </row>
    <row r="62" spans="1:20" x14ac:dyDescent="0.25">
      <c r="A62" s="2" t="s">
        <v>793</v>
      </c>
      <c r="B62" s="2" t="s">
        <v>129</v>
      </c>
      <c r="C62" s="2" t="s">
        <v>136</v>
      </c>
      <c r="D62" s="2" t="s">
        <v>26</v>
      </c>
      <c r="E62" s="3">
        <v>3209</v>
      </c>
      <c r="F62" s="2"/>
      <c r="G62" s="7"/>
      <c r="H62" s="2"/>
      <c r="I62" s="2"/>
      <c r="J62" s="2"/>
      <c r="K62" s="2" t="s">
        <v>312</v>
      </c>
      <c r="L62" s="2"/>
      <c r="M62" s="2"/>
      <c r="N62" s="8" t="str">
        <f t="shared" si="2"/>
        <v/>
      </c>
      <c r="O62" s="2"/>
      <c r="P62" s="2"/>
      <c r="Q62" s="2"/>
      <c r="R62" s="2"/>
      <c r="S62" s="2" t="str">
        <f t="shared" si="3"/>
        <v>sem preco</v>
      </c>
      <c r="T62" s="2" t="s">
        <v>738</v>
      </c>
    </row>
    <row r="63" spans="1:20" x14ac:dyDescent="0.25">
      <c r="A63" s="2" t="s">
        <v>794</v>
      </c>
      <c r="B63" s="2" t="s">
        <v>129</v>
      </c>
      <c r="C63" s="2" t="s">
        <v>137</v>
      </c>
      <c r="D63" s="2" t="s">
        <v>21</v>
      </c>
      <c r="E63" s="3">
        <v>2146</v>
      </c>
      <c r="F63" s="2"/>
      <c r="G63" s="7"/>
      <c r="H63" s="2"/>
      <c r="I63" s="2"/>
      <c r="J63" s="2"/>
      <c r="K63" s="2"/>
      <c r="L63" s="2"/>
      <c r="M63" s="2"/>
      <c r="N63" s="8" t="str">
        <f t="shared" si="2"/>
        <v/>
      </c>
      <c r="O63" s="2"/>
      <c r="P63" s="2"/>
      <c r="Q63" s="2"/>
      <c r="R63" s="2"/>
      <c r="S63" s="2" t="str">
        <f t="shared" si="3"/>
        <v>sem preco</v>
      </c>
      <c r="T63" s="2" t="s">
        <v>738</v>
      </c>
    </row>
    <row r="64" spans="1:20" x14ac:dyDescent="0.25">
      <c r="A64" s="2" t="s">
        <v>795</v>
      </c>
      <c r="B64" s="2" t="s">
        <v>139</v>
      </c>
      <c r="C64" s="2" t="s">
        <v>140</v>
      </c>
      <c r="D64" s="2" t="s">
        <v>15</v>
      </c>
      <c r="E64" s="3">
        <v>14349</v>
      </c>
      <c r="F64" s="2"/>
      <c r="G64" s="7"/>
      <c r="H64" s="2"/>
      <c r="I64" s="2"/>
      <c r="J64" s="2"/>
      <c r="K64" s="2" t="s">
        <v>307</v>
      </c>
      <c r="L64" s="2"/>
      <c r="M64" s="2"/>
      <c r="N64" s="8" t="str">
        <f t="shared" si="2"/>
        <v/>
      </c>
      <c r="O64" s="2"/>
      <c r="P64" s="2"/>
      <c r="Q64" s="2"/>
      <c r="R64" s="2"/>
      <c r="S64" s="2" t="str">
        <f t="shared" si="3"/>
        <v>sem preco</v>
      </c>
      <c r="T64" s="2" t="s">
        <v>738</v>
      </c>
    </row>
    <row r="65" spans="1:20" x14ac:dyDescent="0.25">
      <c r="A65" s="2" t="s">
        <v>796</v>
      </c>
      <c r="B65" s="2" t="s">
        <v>139</v>
      </c>
      <c r="C65" s="2" t="s">
        <v>142</v>
      </c>
      <c r="D65" s="2" t="s">
        <v>15</v>
      </c>
      <c r="E65" s="3">
        <v>2566</v>
      </c>
      <c r="F65" s="2"/>
      <c r="G65" s="7"/>
      <c r="H65" s="2"/>
      <c r="I65" s="2"/>
      <c r="J65" s="2"/>
      <c r="K65" s="2"/>
      <c r="L65" s="2"/>
      <c r="M65" s="2"/>
      <c r="N65" s="8" t="str">
        <f t="shared" si="2"/>
        <v/>
      </c>
      <c r="O65" s="2"/>
      <c r="P65" s="2"/>
      <c r="Q65" s="2"/>
      <c r="R65" s="2"/>
      <c r="S65" s="2" t="str">
        <f t="shared" si="3"/>
        <v>sem preco</v>
      </c>
      <c r="T65" s="2" t="s">
        <v>738</v>
      </c>
    </row>
    <row r="66" spans="1:20" x14ac:dyDescent="0.25">
      <c r="A66" s="2" t="s">
        <v>797</v>
      </c>
      <c r="B66" s="2" t="s">
        <v>139</v>
      </c>
      <c r="C66" s="2" t="s">
        <v>144</v>
      </c>
      <c r="D66" s="2" t="s">
        <v>15</v>
      </c>
      <c r="E66" s="3">
        <v>607</v>
      </c>
      <c r="F66" s="2"/>
      <c r="G66" s="7"/>
      <c r="H66" s="2"/>
      <c r="I66" s="2"/>
      <c r="J66" s="2"/>
      <c r="K66" s="2" t="s">
        <v>307</v>
      </c>
      <c r="L66" s="2"/>
      <c r="M66" s="2"/>
      <c r="N66" s="8" t="str">
        <f t="shared" ref="N66:N81" si="4">IF(OR($G66="",AND($K66="sim",$M66="")),"",$G66+IF($M66="",0,$M66))</f>
        <v/>
      </c>
      <c r="O66" s="2"/>
      <c r="P66" s="2"/>
      <c r="Q66" s="2"/>
      <c r="R66" s="2"/>
      <c r="S66" s="2" t="str">
        <f t="shared" ref="S66:S81" si="5">IF($G66="","sem preco",IF(AND($K66="sim",$M66=""),"so dianteiro","completo"))</f>
        <v>sem preco</v>
      </c>
      <c r="T66" s="2" t="s">
        <v>738</v>
      </c>
    </row>
    <row r="67" spans="1:20" x14ac:dyDescent="0.25">
      <c r="A67" s="2" t="s">
        <v>798</v>
      </c>
      <c r="B67" s="2" t="s">
        <v>139</v>
      </c>
      <c r="C67" s="2" t="s">
        <v>146</v>
      </c>
      <c r="D67" s="2" t="s">
        <v>15</v>
      </c>
      <c r="E67" s="3">
        <v>462</v>
      </c>
      <c r="F67" s="2"/>
      <c r="G67" s="7"/>
      <c r="H67" s="2"/>
      <c r="I67" s="2"/>
      <c r="J67" s="2"/>
      <c r="K67" s="2" t="s">
        <v>307</v>
      </c>
      <c r="L67" s="2"/>
      <c r="M67" s="2"/>
      <c r="N67" s="8" t="str">
        <f t="shared" si="4"/>
        <v/>
      </c>
      <c r="O67" s="2"/>
      <c r="P67" s="2"/>
      <c r="Q67" s="2"/>
      <c r="R67" s="2"/>
      <c r="S67" s="2" t="str">
        <f t="shared" si="5"/>
        <v>sem preco</v>
      </c>
      <c r="T67" s="2" t="s">
        <v>738</v>
      </c>
    </row>
    <row r="68" spans="1:20" x14ac:dyDescent="0.25">
      <c r="A68" s="2" t="s">
        <v>799</v>
      </c>
      <c r="B68" s="2" t="s">
        <v>139</v>
      </c>
      <c r="C68" s="2" t="s">
        <v>147</v>
      </c>
      <c r="D68" s="2" t="s">
        <v>15</v>
      </c>
      <c r="E68" s="3">
        <v>135</v>
      </c>
      <c r="F68" s="2"/>
      <c r="G68" s="7"/>
      <c r="H68" s="2"/>
      <c r="I68" s="2"/>
      <c r="J68" s="2"/>
      <c r="K68" s="2" t="s">
        <v>307</v>
      </c>
      <c r="L68" s="2"/>
      <c r="M68" s="2"/>
      <c r="N68" s="8" t="str">
        <f t="shared" si="4"/>
        <v/>
      </c>
      <c r="O68" s="2"/>
      <c r="P68" s="2"/>
      <c r="Q68" s="2"/>
      <c r="R68" s="2"/>
      <c r="S68" s="2" t="str">
        <f t="shared" si="5"/>
        <v>sem preco</v>
      </c>
      <c r="T68" s="2" t="s">
        <v>738</v>
      </c>
    </row>
    <row r="69" spans="1:20" x14ac:dyDescent="0.25">
      <c r="A69" s="2" t="s">
        <v>800</v>
      </c>
      <c r="B69" s="2" t="s">
        <v>148</v>
      </c>
      <c r="C69" s="2" t="s">
        <v>149</v>
      </c>
      <c r="D69" s="2" t="s">
        <v>15</v>
      </c>
      <c r="E69" s="3">
        <v>7243</v>
      </c>
      <c r="F69" s="2"/>
      <c r="G69" s="7"/>
      <c r="H69" s="2"/>
      <c r="I69" s="2"/>
      <c r="J69" s="2"/>
      <c r="K69" s="2"/>
      <c r="L69" s="2"/>
      <c r="M69" s="2"/>
      <c r="N69" s="8" t="str">
        <f t="shared" si="4"/>
        <v/>
      </c>
      <c r="O69" s="2"/>
      <c r="P69" s="2"/>
      <c r="Q69" s="2"/>
      <c r="R69" s="2"/>
      <c r="S69" s="2" t="str">
        <f t="shared" si="5"/>
        <v>sem preco</v>
      </c>
      <c r="T69" s="2" t="s">
        <v>738</v>
      </c>
    </row>
    <row r="70" spans="1:20" x14ac:dyDescent="0.25">
      <c r="A70" s="2" t="s">
        <v>801</v>
      </c>
      <c r="B70" s="2" t="s">
        <v>148</v>
      </c>
      <c r="C70" s="2" t="s">
        <v>151</v>
      </c>
      <c r="D70" s="2" t="s">
        <v>26</v>
      </c>
      <c r="E70" s="3">
        <v>4382</v>
      </c>
      <c r="F70" s="2"/>
      <c r="G70" s="7"/>
      <c r="H70" s="2"/>
      <c r="I70" s="2"/>
      <c r="J70" s="2"/>
      <c r="K70" s="2"/>
      <c r="L70" s="2"/>
      <c r="M70" s="2"/>
      <c r="N70" s="8" t="str">
        <f t="shared" si="4"/>
        <v/>
      </c>
      <c r="O70" s="2"/>
      <c r="P70" s="2"/>
      <c r="Q70" s="2"/>
      <c r="R70" s="2"/>
      <c r="S70" s="2" t="str">
        <f t="shared" si="5"/>
        <v>sem preco</v>
      </c>
      <c r="T70" s="2" t="s">
        <v>738</v>
      </c>
    </row>
    <row r="71" spans="1:20" x14ac:dyDescent="0.25">
      <c r="A71" s="2" t="s">
        <v>802</v>
      </c>
      <c r="B71" s="2" t="s">
        <v>148</v>
      </c>
      <c r="C71" s="2" t="s">
        <v>152</v>
      </c>
      <c r="D71" s="2" t="s">
        <v>15</v>
      </c>
      <c r="E71" s="3">
        <v>86</v>
      </c>
      <c r="F71" s="2"/>
      <c r="G71" s="7"/>
      <c r="H71" s="2"/>
      <c r="I71" s="2"/>
      <c r="J71" s="2"/>
      <c r="K71" s="2"/>
      <c r="L71" s="2"/>
      <c r="M71" s="2"/>
      <c r="N71" s="8" t="str">
        <f t="shared" si="4"/>
        <v/>
      </c>
      <c r="O71" s="2"/>
      <c r="P71" s="2"/>
      <c r="Q71" s="2"/>
      <c r="R71" s="2"/>
      <c r="S71" s="2" t="str">
        <f t="shared" si="5"/>
        <v>sem preco</v>
      </c>
      <c r="T71" s="2" t="s">
        <v>738</v>
      </c>
    </row>
    <row r="72" spans="1:20" x14ac:dyDescent="0.25">
      <c r="A72" s="2" t="s">
        <v>803</v>
      </c>
      <c r="B72" s="2" t="s">
        <v>154</v>
      </c>
      <c r="C72" s="2" t="s">
        <v>155</v>
      </c>
      <c r="D72" s="2" t="s">
        <v>26</v>
      </c>
      <c r="E72" s="3">
        <v>4712</v>
      </c>
      <c r="F72" s="2"/>
      <c r="G72" s="7"/>
      <c r="H72" s="2"/>
      <c r="I72" s="2"/>
      <c r="J72" s="2"/>
      <c r="K72" s="2"/>
      <c r="L72" s="2"/>
      <c r="M72" s="2"/>
      <c r="N72" s="8" t="str">
        <f t="shared" si="4"/>
        <v/>
      </c>
      <c r="O72" s="2"/>
      <c r="P72" s="2"/>
      <c r="Q72" s="2"/>
      <c r="R72" s="2"/>
      <c r="S72" s="2" t="str">
        <f t="shared" si="5"/>
        <v>sem preco</v>
      </c>
      <c r="T72" s="2" t="s">
        <v>738</v>
      </c>
    </row>
    <row r="73" spans="1:20" x14ac:dyDescent="0.25">
      <c r="A73" s="2" t="s">
        <v>804</v>
      </c>
      <c r="B73" s="2" t="s">
        <v>154</v>
      </c>
      <c r="C73" s="2" t="s">
        <v>157</v>
      </c>
      <c r="D73" s="2" t="s">
        <v>21</v>
      </c>
      <c r="E73" s="3">
        <v>3299</v>
      </c>
      <c r="F73" s="2"/>
      <c r="G73" s="7"/>
      <c r="H73" s="2"/>
      <c r="I73" s="2"/>
      <c r="J73" s="2"/>
      <c r="K73" s="2"/>
      <c r="L73" s="2"/>
      <c r="M73" s="2"/>
      <c r="N73" s="8" t="str">
        <f t="shared" si="4"/>
        <v/>
      </c>
      <c r="O73" s="2"/>
      <c r="P73" s="2"/>
      <c r="Q73" s="2"/>
      <c r="R73" s="2"/>
      <c r="S73" s="2" t="str">
        <f t="shared" si="5"/>
        <v>sem preco</v>
      </c>
      <c r="T73" s="2" t="s">
        <v>738</v>
      </c>
    </row>
    <row r="74" spans="1:20" x14ac:dyDescent="0.25">
      <c r="A74" s="2" t="s">
        <v>805</v>
      </c>
      <c r="B74" s="2" t="s">
        <v>154</v>
      </c>
      <c r="C74" s="2" t="s">
        <v>158</v>
      </c>
      <c r="D74" s="2" t="s">
        <v>58</v>
      </c>
      <c r="E74" s="3">
        <v>1354</v>
      </c>
      <c r="F74" s="2"/>
      <c r="G74" s="7"/>
      <c r="H74" s="2"/>
      <c r="I74" s="2"/>
      <c r="J74" s="2"/>
      <c r="K74" s="2"/>
      <c r="L74" s="2"/>
      <c r="M74" s="2"/>
      <c r="N74" s="8" t="str">
        <f t="shared" si="4"/>
        <v/>
      </c>
      <c r="O74" s="2"/>
      <c r="P74" s="2"/>
      <c r="Q74" s="2"/>
      <c r="R74" s="2"/>
      <c r="S74" s="2" t="str">
        <f t="shared" si="5"/>
        <v>sem preco</v>
      </c>
      <c r="T74" s="2" t="s">
        <v>738</v>
      </c>
    </row>
    <row r="75" spans="1:20" x14ac:dyDescent="0.25">
      <c r="A75" s="2" t="s">
        <v>806</v>
      </c>
      <c r="B75" s="2" t="s">
        <v>154</v>
      </c>
      <c r="C75" s="2" t="s">
        <v>159</v>
      </c>
      <c r="D75" s="2" t="s">
        <v>58</v>
      </c>
      <c r="E75" s="3">
        <v>313</v>
      </c>
      <c r="F75" s="2"/>
      <c r="G75" s="7"/>
      <c r="H75" s="2"/>
      <c r="I75" s="2"/>
      <c r="J75" s="2"/>
      <c r="K75" s="2"/>
      <c r="L75" s="2"/>
      <c r="M75" s="2"/>
      <c r="N75" s="8" t="str">
        <f t="shared" si="4"/>
        <v/>
      </c>
      <c r="O75" s="2"/>
      <c r="P75" s="2"/>
      <c r="Q75" s="2"/>
      <c r="R75" s="2"/>
      <c r="S75" s="2" t="str">
        <f t="shared" si="5"/>
        <v>sem preco</v>
      </c>
      <c r="T75" s="2" t="s">
        <v>738</v>
      </c>
    </row>
    <row r="76" spans="1:20" x14ac:dyDescent="0.25">
      <c r="A76" s="2" t="s">
        <v>807</v>
      </c>
      <c r="B76" s="2" t="s">
        <v>154</v>
      </c>
      <c r="C76" s="2" t="s">
        <v>160</v>
      </c>
      <c r="D76" s="2" t="s">
        <v>58</v>
      </c>
      <c r="E76" s="3">
        <v>296</v>
      </c>
      <c r="F76" s="2"/>
      <c r="G76" s="7"/>
      <c r="H76" s="2"/>
      <c r="I76" s="2"/>
      <c r="J76" s="2"/>
      <c r="K76" s="2"/>
      <c r="L76" s="2"/>
      <c r="M76" s="2"/>
      <c r="N76" s="8" t="str">
        <f t="shared" si="4"/>
        <v/>
      </c>
      <c r="O76" s="2"/>
      <c r="P76" s="2"/>
      <c r="Q76" s="2"/>
      <c r="R76" s="2"/>
      <c r="S76" s="2" t="str">
        <f t="shared" si="5"/>
        <v>sem preco</v>
      </c>
      <c r="T76" s="2" t="s">
        <v>738</v>
      </c>
    </row>
    <row r="77" spans="1:20" x14ac:dyDescent="0.25">
      <c r="A77" s="2" t="s">
        <v>808</v>
      </c>
      <c r="B77" s="2" t="s">
        <v>161</v>
      </c>
      <c r="C77" s="2" t="s">
        <v>162</v>
      </c>
      <c r="D77" s="2" t="s">
        <v>58</v>
      </c>
      <c r="E77" s="3">
        <v>1522</v>
      </c>
      <c r="F77" s="2"/>
      <c r="G77" s="7"/>
      <c r="H77" s="2"/>
      <c r="I77" s="2"/>
      <c r="J77" s="2"/>
      <c r="K77" s="2"/>
      <c r="L77" s="2"/>
      <c r="M77" s="2"/>
      <c r="N77" s="8" t="str">
        <f t="shared" si="4"/>
        <v/>
      </c>
      <c r="O77" s="2"/>
      <c r="P77" s="2"/>
      <c r="Q77" s="2"/>
      <c r="R77" s="2"/>
      <c r="S77" s="2" t="str">
        <f t="shared" si="5"/>
        <v>sem preco</v>
      </c>
      <c r="T77" s="2" t="s">
        <v>738</v>
      </c>
    </row>
    <row r="78" spans="1:20" x14ac:dyDescent="0.25">
      <c r="A78" s="2" t="s">
        <v>809</v>
      </c>
      <c r="B78" s="2" t="s">
        <v>161</v>
      </c>
      <c r="C78" s="2" t="s">
        <v>164</v>
      </c>
      <c r="D78" s="2" t="s">
        <v>58</v>
      </c>
      <c r="E78" s="3">
        <v>1491</v>
      </c>
      <c r="F78" s="2"/>
      <c r="G78" s="7"/>
      <c r="H78" s="2"/>
      <c r="I78" s="2"/>
      <c r="J78" s="2"/>
      <c r="K78" s="2"/>
      <c r="L78" s="2"/>
      <c r="M78" s="2"/>
      <c r="N78" s="8" t="str">
        <f t="shared" si="4"/>
        <v/>
      </c>
      <c r="O78" s="2"/>
      <c r="P78" s="2"/>
      <c r="Q78" s="2"/>
      <c r="R78" s="2"/>
      <c r="S78" s="2" t="str">
        <f t="shared" si="5"/>
        <v>sem preco</v>
      </c>
      <c r="T78" s="2" t="s">
        <v>738</v>
      </c>
    </row>
    <row r="79" spans="1:20" x14ac:dyDescent="0.25">
      <c r="A79" s="2" t="s">
        <v>810</v>
      </c>
      <c r="B79" s="2" t="s">
        <v>161</v>
      </c>
      <c r="C79" s="2" t="s">
        <v>166</v>
      </c>
      <c r="D79" s="2" t="s">
        <v>58</v>
      </c>
      <c r="E79" s="3">
        <v>92</v>
      </c>
      <c r="F79" s="2"/>
      <c r="G79" s="7"/>
      <c r="H79" s="2"/>
      <c r="I79" s="2"/>
      <c r="J79" s="2"/>
      <c r="K79" s="2"/>
      <c r="L79" s="2"/>
      <c r="M79" s="2"/>
      <c r="N79" s="8" t="str">
        <f t="shared" si="4"/>
        <v/>
      </c>
      <c r="O79" s="2"/>
      <c r="P79" s="2"/>
      <c r="Q79" s="2"/>
      <c r="R79" s="2"/>
      <c r="S79" s="2" t="str">
        <f t="shared" si="5"/>
        <v>sem preco</v>
      </c>
      <c r="T79" s="2" t="s">
        <v>738</v>
      </c>
    </row>
    <row r="80" spans="1:20" x14ac:dyDescent="0.25">
      <c r="A80" s="2" t="s">
        <v>811</v>
      </c>
      <c r="B80" s="2" t="s">
        <v>167</v>
      </c>
      <c r="C80" s="2" t="s">
        <v>168</v>
      </c>
      <c r="D80" s="2" t="s">
        <v>26</v>
      </c>
      <c r="E80" s="3">
        <v>11738</v>
      </c>
      <c r="F80" s="2"/>
      <c r="G80" s="7"/>
      <c r="H80" s="2"/>
      <c r="I80" s="2"/>
      <c r="J80" s="2"/>
      <c r="K80" s="2"/>
      <c r="L80" s="2"/>
      <c r="M80" s="2"/>
      <c r="N80" s="8" t="str">
        <f t="shared" si="4"/>
        <v/>
      </c>
      <c r="O80" s="2"/>
      <c r="P80" s="2"/>
      <c r="Q80" s="2"/>
      <c r="R80" s="2"/>
      <c r="S80" s="2" t="str">
        <f t="shared" si="5"/>
        <v>sem preco</v>
      </c>
      <c r="T80" s="2" t="s">
        <v>738</v>
      </c>
    </row>
    <row r="81" spans="1:20" x14ac:dyDescent="0.25">
      <c r="A81" s="2" t="s">
        <v>812</v>
      </c>
      <c r="B81" s="2" t="s">
        <v>167</v>
      </c>
      <c r="C81" s="2" t="s">
        <v>170</v>
      </c>
      <c r="D81" s="2" t="s">
        <v>26</v>
      </c>
      <c r="E81" s="3">
        <v>9483</v>
      </c>
      <c r="F81" s="2"/>
      <c r="G81" s="7"/>
      <c r="H81" s="2"/>
      <c r="I81" s="2"/>
      <c r="J81" s="2"/>
      <c r="K81" s="2"/>
      <c r="L81" s="2"/>
      <c r="M81" s="2"/>
      <c r="N81" s="8" t="str">
        <f t="shared" si="4"/>
        <v/>
      </c>
      <c r="O81" s="2"/>
      <c r="P81" s="2"/>
      <c r="Q81" s="2"/>
      <c r="R81" s="2"/>
      <c r="S81" s="2" t="str">
        <f t="shared" si="5"/>
        <v>sem preco</v>
      </c>
      <c r="T81" s="2" t="s">
        <v>738</v>
      </c>
    </row>
  </sheetData>
  <autoFilter ref="A1:T81"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vt:lpstr>
      <vt:lpstr>fontes</vt:lpstr>
      <vt:lpstr>palhetas</vt:lpstr>
      <vt:lpstr>coleta_precos</vt:lpstr>
      <vt:lpstr>app_precos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Iasmin Baciega</cp:lastModifiedBy>
  <cp:revision>0</cp:revision>
  <dcterms:created xsi:type="dcterms:W3CDTF">2026-08-20T19:33:01Z</dcterms:created>
  <dcterms:modified xsi:type="dcterms:W3CDTF">2026-08-26T19:10:58Z</dcterms:modified>
  <dc:language>en-US</dc:language>
</cp:coreProperties>
</file>