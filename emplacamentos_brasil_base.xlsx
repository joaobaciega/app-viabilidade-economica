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se" sheetId="1" state="visible" r:id="rId3"/>
    <sheet name="fontes" sheetId="2" state="visible" r:id="rId4"/>
  </sheets>
  <definedNames>
    <definedName function="false" hidden="true" localSheetId="0" name="_xlnm._FilterDatabase" vbProcedure="false">base!$A$1:$M$81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<sst xmlns="http://schemas.openxmlformats.org/spreadsheetml/2006/main" count="759" uniqueCount="280">
  <si>
    <t xml:space="preserve">marca</t>
  </si>
  <si>
    <t xml:space="preserve">modelo</t>
  </si>
  <si>
    <t xml:space="preserve">categoria</t>
  </si>
  <si>
    <t xml:space="preserve">posicao_na_marca</t>
  </si>
  <si>
    <t xml:space="preserve">emplacamentos_2026_ytd</t>
  </si>
  <si>
    <t xml:space="preserve">emplacamentos_2025_ytd</t>
  </si>
  <si>
    <t xml:space="preserve">emplacamentos_2025</t>
  </si>
  <si>
    <t xml:space="preserve">variacao_pct</t>
  </si>
  <si>
    <t xml:space="preserve">criterio</t>
  </si>
  <si>
    <t xml:space="preserve">fonte</t>
  </si>
  <si>
    <t xml:space="preserve">url</t>
  </si>
  <si>
    <t xml:space="preserve">data_consulta</t>
  </si>
  <si>
    <t xml:space="preserve">observacao</t>
  </si>
  <si>
    <t xml:space="preserve">Fiat</t>
  </si>
  <si>
    <t xml:space="preserve">Strada</t>
  </si>
  <si>
    <t xml:space="preserve">picape</t>
  </si>
  <si>
    <t xml:space="preserve">Emplacamentos totais (varejo + venda direta/frota), automóveis e comerciais leves, base Fenabrave. Ranking interno da marca por emplacamentos acumulados jan-jul/2026. variacao_pct = jan-jul/2026 vs jan-jul/2025 (mesma janela nos dois anos).</t>
  </si>
  <si>
    <t xml:space="preserve">Fenabrave - Informativo de Emplacamentos: Ed. 283 jul/2026 (col. emplacamentos_2026_ytd), Ed. 271 jul/2025 (col. emplacamentos_2025_ytd), Ed. 276 dez/2025 (col. emplacamentos_2025)</t>
  </si>
  <si>
    <t xml:space="preserve">https://www.fenabrave.org.br/portal/files/2026_07_02.pdf</t>
  </si>
  <si>
    <t xml:space="preserve">Ed. 283 traz 97.941 no ranking geral de comerciais leves e 97.938 na tabela do segmento Pick-up's Pequenas; adotado o ranking geral. Cobertura da marca na fonte: os modelos com número Fenabrave publicado somam 319.935 das 319.959 unidades da marca no acumulado jan-jul/2026 (99.99%). resíduo não aberto por modelo de 24 un.</t>
  </si>
  <si>
    <t xml:space="preserve">Argo</t>
  </si>
  <si>
    <t xml:space="preserve">hatch</t>
  </si>
  <si>
    <t xml:space="preserve">Cobertura da marca na fonte: os modelos com número Fenabrave publicado somam 319.935 das 319.959 unidades da marca no acumulado jan-jul/2026 (99.99%). resíduo não aberto por modelo de 24 un.</t>
  </si>
  <si>
    <t xml:space="preserve">Mobi</t>
  </si>
  <si>
    <t xml:space="preserve">Toro</t>
  </si>
  <si>
    <t xml:space="preserve">Pulse</t>
  </si>
  <si>
    <t xml:space="preserve">SUV</t>
  </si>
  <si>
    <t xml:space="preserve">Volkswagen</t>
  </si>
  <si>
    <t xml:space="preserve">Polo</t>
  </si>
  <si>
    <t xml:space="preserve">Cobertura da marca na fonte: os modelos com número Fenabrave publicado somam 263.830 das 266.877 unidades da marca no acumulado jan-jul/2026 (98.86%). resíduo não aberto por modelo de 3.047 un.</t>
  </si>
  <si>
    <t xml:space="preserve">T-Cross</t>
  </si>
  <si>
    <t xml:space="preserve">Tera</t>
  </si>
  <si>
    <t xml:space="preserve">Modelo lançado em 2025; o acumulado jan-jul/2025 (5.994) cobre poucos meses de venda, o que infla a variacao_pct. Cobertura da marca na fonte: os modelos com número Fenabrave publicado somam 263.830 das 266.877 unidades da marca no acumulado jan-jul/2026 (98.86%). resíduo não aberto por modelo de 3.047 un.</t>
  </si>
  <si>
    <t xml:space="preserve">Nivus</t>
  </si>
  <si>
    <t xml:space="preserve">Classificado pela Fenabrave no segmento Suv's. Cobertura da marca na fonte: os modelos com número Fenabrave publicado somam 263.830 das 266.877 unidades da marca no acumulado jan-jul/2026 (98.86%). resíduo não aberto por modelo de 3.047 un.</t>
  </si>
  <si>
    <t xml:space="preserve">Saveiro</t>
  </si>
  <si>
    <t xml:space="preserve">Divergências internas na própria Fenabrave: Ed. 283 28.588 (ranking geral) vs 28.587 (segmento); Ed. 276 67.752 (ranking geral) vs 67.751 (segmento). Adotado o ranking geral nos dois casos. Cobertura da marca na fonte: os modelos com número Fenabrave publicado somam 263.830 das 266.877 unidades da marca no acumulado jan-jul/2026 (98.86%). resíduo não aberto por modelo de 3.047 un.</t>
  </si>
  <si>
    <t xml:space="preserve">Chevrolet</t>
  </si>
  <si>
    <t xml:space="preserve">Onix</t>
  </si>
  <si>
    <t xml:space="preserve">A Fenabrave imprime a marca como GM; Onix e Onix Plus são linhas separadas na fonte e a separação foi mantida. Cobertura da marca na fonte: os modelos com número Fenabrave publicado somam 165.454 das 169.927 unidades da marca no acumulado jan-jul/2026 (97.37%). resíduo não aberto por modelo de 4.473 un.</t>
  </si>
  <si>
    <t xml:space="preserve">Tracker</t>
  </si>
  <si>
    <t xml:space="preserve">Cobertura da marca na fonte: os modelos com número Fenabrave publicado somam 165.454 das 169.927 unidades da marca no acumulado jan-jul/2026 (97.37%). resíduo não aberto por modelo de 4.473 un.</t>
  </si>
  <si>
    <t xml:space="preserve">Onix Plus</t>
  </si>
  <si>
    <t xml:space="preserve">sedã</t>
  </si>
  <si>
    <t xml:space="preserve">Linha separada do Onix hatch na fonte; separação mantida. Cobertura da marca na fonte: os modelos com número Fenabrave publicado somam 165.454 das 169.927 unidades da marca no acumulado jan-jul/2026 (97.37%). resíduo não aberto por modelo de 4.473 un.</t>
  </si>
  <si>
    <t xml:space="preserve">S10</t>
  </si>
  <si>
    <t xml:space="preserve">Spin</t>
  </si>
  <si>
    <t xml:space="preserve">minivan</t>
  </si>
  <si>
    <t xml:space="preserve">Classificado pela Fenabrave no segmento Grandcab. Cobertura da marca na fonte: os modelos com número Fenabrave publicado somam 165.454 das 169.927 unidades da marca no acumulado jan-jul/2026 (97.37%). resíduo não aberto por modelo de 4.473 un.</t>
  </si>
  <si>
    <t xml:space="preserve">Hyundai</t>
  </si>
  <si>
    <t xml:space="preserve">HB20</t>
  </si>
  <si>
    <t xml:space="preserve">Cobertura da marca na fonte: os modelos com número Fenabrave publicado somam 109.411 das 109.987 unidades da marca no acumulado jan-jul/2026 (99.48%). resíduo não aberto por modelo de 576 un.</t>
  </si>
  <si>
    <t xml:space="preserve">Creta</t>
  </si>
  <si>
    <t xml:space="preserve">HB20S</t>
  </si>
  <si>
    <t xml:space="preserve">Linha separada do HB20 hatch na fonte; separação mantida. Cobertura da marca na fonte: os modelos com número Fenabrave publicado somam 109.411 das 109.987 unidades da marca no acumulado jan-jul/2026 (99.48%). resíduo não aberto por modelo de 576 un.</t>
  </si>
  <si>
    <t xml:space="preserve">i20</t>
  </si>
  <si>
    <t xml:space="preserve">Não consta nas tabelas de segmento nem no ranking de modelos da Ed. 271 nem da Ed. 276; células de 2025 deixadas vazias por ausência de dado publicado, sem estimativa. Cobertura da marca na fonte: os modelos com número Fenabrave publicado somam 109.411 das 109.987 unidades da marca no acumulado jan-jul/2026 (99.48%). resíduo não aberto por modelo de 576 un.</t>
  </si>
  <si>
    <t xml:space="preserve">HR</t>
  </si>
  <si>
    <t xml:space="preserve">comercial leve</t>
  </si>
  <si>
    <t xml:space="preserve">Cobertura da marca na fonte: os modelos com número Fenabrave publicado somam 109.411 das 109.987 unidades da marca no acumulado jan-jul/2026 (99.48%). resíduo não aberto por modelo de 576 un. ATENÇÃO: o resíduo não publicado (576 un.) é maior que o número deste modelo (82 un.). logo esta posição pode estar incompleta: existe modelo da marca sem número publicado que poderia ficar à frente.</t>
  </si>
  <si>
    <t xml:space="preserve">Toyota</t>
  </si>
  <si>
    <t xml:space="preserve">Hilux</t>
  </si>
  <si>
    <t xml:space="preserve">Cobertura da marca na fonte: os modelos com número Fenabrave publicado somam 93.491 das 95.254 unidades da marca no acumulado jan-jul/2026 (98.15%). resíduo não aberto por modelo de 1.763 un.</t>
  </si>
  <si>
    <t xml:space="preserve">Corolla Cross</t>
  </si>
  <si>
    <t xml:space="preserve">Yaris Cross</t>
  </si>
  <si>
    <t xml:space="preserve">Não consta nas tabelas de segmento nem no ranking de modelos da Ed. 271 nem da Ed. 276; células de 2025 deixadas vazias por ausência de dado publicado, sem estimativa. Cobertura da marca na fonte: os modelos com número Fenabrave publicado somam 93.491 das 95.254 unidades da marca no acumulado jan-jul/2026 (98.15%). resíduo não aberto por modelo de 1.763 un.</t>
  </si>
  <si>
    <t xml:space="preserve">Corolla</t>
  </si>
  <si>
    <t xml:space="preserve">Ed. 283: 14.686 no ranking geral vs 14.685 na tabela do segmento Sedans médios; adotado o ranking geral. Cobertura da marca na fonte: os modelos com número Fenabrave publicado somam 93.491 das 95.254 unidades da marca no acumulado jan-jul/2026 (98.15%). resíduo não aberto por modelo de 1.763 un.</t>
  </si>
  <si>
    <t xml:space="preserve">Hilux SW4</t>
  </si>
  <si>
    <t xml:space="preserve">Classificado pela Fenabrave no segmento Suv's, não em picapes. Cobertura da marca na fonte: os modelos com número Fenabrave publicado somam 93.491 das 95.254 unidades da marca no acumulado jan-jul/2026 (98.15%). resíduo não aberto por modelo de 1.763 un.</t>
  </si>
  <si>
    <t xml:space="preserve">Renault</t>
  </si>
  <si>
    <t xml:space="preserve">Kwid</t>
  </si>
  <si>
    <t xml:space="preserve">A fonte lista também RENAULT/E-KWID (234 un. em jan-jul/2026) e uma versão furgão do Kwid (14 un.) como linhas separadas; a separação da fonte foi mantida e essas linhas não foram somadas aqui. Cobertura da marca na fonte: os modelos com número Fenabrave publicado somam 74.241 das 74.499 unidades da marca no acumulado jan-jul/2026 (99.65%). resíduo não aberto por modelo de 258 un.</t>
  </si>
  <si>
    <t xml:space="preserve">Kardian</t>
  </si>
  <si>
    <t xml:space="preserve">Cobertura da marca na fonte: os modelos com número Fenabrave publicado somam 74.241 das 74.499 unidades da marca no acumulado jan-jul/2026 (99.65%). resíduo não aberto por modelo de 258 un.</t>
  </si>
  <si>
    <t xml:space="preserve">Duster</t>
  </si>
  <si>
    <t xml:space="preserve">Boreal</t>
  </si>
  <si>
    <t xml:space="preserve">Modelo lançado no 2º semestre de 2025: não consta no acumulado jan-jul/2025 da Ed. 271, por isso a célula de 2025_ytd está vazia e variacao_pct não foi calculada. Cobertura da marca na fonte: os modelos com número Fenabrave publicado somam 74.241 das 74.499 unidades da marca no acumulado jan-jul/2026 (99.65%). resíduo não aberto por modelo de 258 un.</t>
  </si>
  <si>
    <t xml:space="preserve">Master</t>
  </si>
  <si>
    <t xml:space="preserve">Divergências internas na Fenabrave: Ed. 283 6.742 (ranking geral) vs 6.734 (segmento); Ed. 271 9.164 vs 9.158; Ed. 276 15.771 vs 15.760. Adotado o ranking geral nos três casos. Cobertura da marca na fonte: os modelos com número Fenabrave publicado somam 74.241 das 74.499 unidades da marca no acumulado jan-jul/2026 (99.65%). resíduo não aberto por modelo de 258 un.</t>
  </si>
  <si>
    <t xml:space="preserve">Jeep</t>
  </si>
  <si>
    <t xml:space="preserve">Compass</t>
  </si>
  <si>
    <t xml:space="preserve">Cobertura da marca na fonte: os modelos com número Fenabrave publicado somam 65.374 das 65.540 unidades da marca no acumulado jan-jul/2026 (99.75%). resíduo não aberto por modelo de 166 un.</t>
  </si>
  <si>
    <t xml:space="preserve">Renegade</t>
  </si>
  <si>
    <t xml:space="preserve">Commander</t>
  </si>
  <si>
    <t xml:space="preserve">BYD</t>
  </si>
  <si>
    <t xml:space="preserve">Dolphin Mini</t>
  </si>
  <si>
    <t xml:space="preserve">Cobertura da marca na fonte: os modelos com número Fenabrave publicado somam 120.911 das 122.475 unidades da marca no acumulado jan-jul/2026 (98.72%). resíduo não aberto por modelo de 1.564 un.</t>
  </si>
  <si>
    <t xml:space="preserve">Song</t>
  </si>
  <si>
    <t xml:space="preserve">A Fenabrave publica o Song em linha única; tabulações de imprensa separam Song Pro e Song Plus DM-i. Mantido o recorte da Fenabrave. Cobertura da marca na fonte: os modelos com número Fenabrave publicado somam 120.911 das 122.475 unidades da marca no acumulado jan-jul/2026 (98.72%). resíduo não aberto por modelo de 1.564 un.</t>
  </si>
  <si>
    <t xml:space="preserve">Dolphin</t>
  </si>
  <si>
    <t xml:space="preserve">King</t>
  </si>
  <si>
    <t xml:space="preserve">Yuan</t>
  </si>
  <si>
    <t xml:space="preserve">Honda</t>
  </si>
  <si>
    <t xml:space="preserve">HR-V</t>
  </si>
  <si>
    <t xml:space="preserve">Cobertura da marca na fonte: os modelos com número Fenabrave publicado somam 63.124 das 63.350 unidades da marca no acumulado jan-jul/2026 (99.64%). resíduo não aberto por modelo de 226 un.</t>
  </si>
  <si>
    <t xml:space="preserve">WR-V</t>
  </si>
  <si>
    <t xml:space="preserve">Modelo lançado no 2º semestre de 2025: não consta no acumulado jan-jul/2025 da Ed. 271, por isso a célula de 2025_ytd está vazia e variacao_pct não foi calculada. Cobertura da marca na fonte: os modelos com número Fenabrave publicado somam 63.124 das 63.350 unidades da marca no acumulado jan-jul/2026 (99.64%). resíduo não aberto por modelo de 226 un.</t>
  </si>
  <si>
    <t xml:space="preserve">City</t>
  </si>
  <si>
    <t xml:space="preserve">Linha separada do City hatch na fonte; separação mantida. Cobertura da marca na fonte: os modelos com número Fenabrave publicado somam 63.124 das 63.350 unidades da marca no acumulado jan-jul/2026 (99.64%). resíduo não aberto por modelo de 226 un.</t>
  </si>
  <si>
    <t xml:space="preserve">City Hatch</t>
  </si>
  <si>
    <t xml:space="preserve">Linha separada do City sedã na fonte; separação mantida. Cobertura da marca na fonte: os modelos com número Fenabrave publicado somam 63.124 das 63.350 unidades da marca no acumulado jan-jul/2026 (99.64%). resíduo não aberto por modelo de 226 un.</t>
  </si>
  <si>
    <t xml:space="preserve">Civic</t>
  </si>
  <si>
    <t xml:space="preserve">Cobertura da marca na fonte: os modelos com número Fenabrave publicado somam 63.124 das 63.350 unidades da marca no acumulado jan-jul/2026 (99.64%). resíduo não aberto por modelo de 226 un. ATENÇÃO: o resíduo não publicado (226 un.) é maior que o número deste modelo (34 un.). logo esta posição pode estar incompleta: existe modelo da marca sem número publicado que poderia ficar à frente.</t>
  </si>
  <si>
    <t xml:space="preserve">Nissan</t>
  </si>
  <si>
    <t xml:space="preserve">Kicks</t>
  </si>
  <si>
    <t xml:space="preserve">Cobertura da marca na fonte: os modelos com número Fenabrave publicado somam 43.494 das 43.497 unidades da marca no acumulado jan-jul/2026 (99.99%). resíduo não aberto por modelo de 3 un.</t>
  </si>
  <si>
    <t xml:space="preserve">Kait</t>
  </si>
  <si>
    <t xml:space="preserve">Modelo lançado em 2026: não consta na Ed. 271 nem na Ed. 276; células de 2025 vazias por ausência de dado, sem estimativa. Cobertura da marca na fonte: os modelos com número Fenabrave publicado somam 43.494 das 43.497 unidades da marca no acumulado jan-jul/2026 (99.99%). resíduo não aberto por modelo de 3 un.</t>
  </si>
  <si>
    <t xml:space="preserve">Versa</t>
  </si>
  <si>
    <t xml:space="preserve">Ed. 283 lista 4.241 em Sedans Compactos e 1 unidade sob o mesmo nome em Sedans Pequenos; adotado o valor do ranking geral (4.241). Cobertura da marca na fonte: os modelos com número Fenabrave publicado somam 43.494 das 43.497 unidades da marca no acumulado jan-jul/2026 (99.99%). resíduo não aberto por modelo de 3 un.</t>
  </si>
  <si>
    <t xml:space="preserve">Frontier</t>
  </si>
  <si>
    <t xml:space="preserve">Sentra</t>
  </si>
  <si>
    <t xml:space="preserve">CAOA Chery</t>
  </si>
  <si>
    <t xml:space="preserve">Tiggo 5X</t>
  </si>
  <si>
    <t xml:space="preserve">Cobertura da marca na fonte: os modelos com número Fenabrave publicado somam 44.360 das 44.367 unidades da marca no acumulado jan-jul/2026 (99.98%). resíduo não aberto por modelo de 7 un.</t>
  </si>
  <si>
    <t xml:space="preserve">Tiggo 7</t>
  </si>
  <si>
    <t xml:space="preserve">Tiggo 8</t>
  </si>
  <si>
    <t xml:space="preserve">Arrizo 6</t>
  </si>
  <si>
    <t xml:space="preserve">A marca tem apenas 4 modelos com número publicado, e eles cobrem 99,98% do total da marca: a lista de 5 modelos não existe na fonte e não foi completada. Cobertura da marca na fonte: os modelos com número Fenabrave publicado somam 44.360 das 44.367 unidades da marca no acumulado jan-jul/2026 (99.98%). resíduo não aberto por modelo de 7 un.</t>
  </si>
  <si>
    <t xml:space="preserve">Ford</t>
  </si>
  <si>
    <t xml:space="preserve">Ranger</t>
  </si>
  <si>
    <t xml:space="preserve">Cobertura da marca na fonte: os modelos com número Fenabrave publicado somam 31.010 das 32.421 unidades da marca no acumulado jan-jul/2026 (95.65%). resíduo não aberto por modelo de 1.411 un.</t>
  </si>
  <si>
    <t xml:space="preserve">Territory</t>
  </si>
  <si>
    <t xml:space="preserve">Maverick</t>
  </si>
  <si>
    <t xml:space="preserve">Transit</t>
  </si>
  <si>
    <t xml:space="preserve">Cobertura da marca na fonte: os modelos com número Fenabrave publicado somam 31.010 das 32.421 unidades da marca no acumulado jan-jul/2026 (95.65%). resíduo não aberto por modelo de 1.411 un. ATENÇÃO: o resíduo não publicado (1.411 un.) é maior que o número deste modelo (1.402 un.). logo esta posição pode estar incompleta: existe modelo da marca sem número publicado que poderia ficar à frente.</t>
  </si>
  <si>
    <t xml:space="preserve">F-150</t>
  </si>
  <si>
    <t xml:space="preserve">Cobertura da marca na fonte: os modelos com número Fenabrave publicado somam 31.010 das 32.421 unidades da marca no acumulado jan-jul/2026 (95.65%). resíduo não aberto por modelo de 1.411 un. ATENÇÃO: o resíduo não publicado (1.411 un.) é maior que o número deste modelo (702 un.). logo esta posição pode estar incompleta: existe modelo da marca sem número publicado que poderia ficar à frente.</t>
  </si>
  <si>
    <t xml:space="preserve">GWM</t>
  </si>
  <si>
    <t xml:space="preserve">Haval H6</t>
  </si>
  <si>
    <t xml:space="preserve">Cobertura da marca na fonte: os modelos com número Fenabrave publicado somam 42.210 das 44.515 unidades da marca no acumulado jan-jul/2026 (94.82%). resíduo não aberto por modelo de 2.305 un.</t>
  </si>
  <si>
    <t xml:space="preserve">Haval H9</t>
  </si>
  <si>
    <t xml:space="preserve">Modelo lançado no 2º semestre de 2025: não consta no acumulado jan-jul/2025 da Ed. 271, por isso a célula de 2025_ytd está vazia e variacao_pct não foi calculada. Cobertura da marca na fonte: os modelos com número Fenabrave publicado somam 42.210 das 44.515 unidades da marca no acumulado jan-jul/2026 (94.82%). resíduo não aberto por modelo de 2.305 un.</t>
  </si>
  <si>
    <t xml:space="preserve">Poer</t>
  </si>
  <si>
    <t xml:space="preserve">Não consta no acumulado jan-jul/2025 da Ed. 271 (a tabela de Pick-up's Grandes encerra na 11ª posição); célula de 2025_ytd vazia, sem estimativa. Cobertura da marca na fonte: os modelos com número Fenabrave publicado somam 42.210 das 44.515 unidades da marca no acumulado jan-jul/2026 (94.82%). resíduo não aberto por modelo de 2.305 un.</t>
  </si>
  <si>
    <t xml:space="preserve">Tank 300</t>
  </si>
  <si>
    <t xml:space="preserve">Ora 03</t>
  </si>
  <si>
    <t xml:space="preserve">Cobertura da marca na fonte: os modelos com número Fenabrave publicado somam 42.210 das 44.515 unidades da marca no acumulado jan-jul/2026 (94.82%). resíduo não aberto por modelo de 2.305 un. ATENÇÃO: o resíduo não publicado (2.305 un.) é maior que o número deste modelo (2.146 un.). logo esta posição pode estar incompleta: existe modelo da marca sem número publicado que poderia ficar à frente.</t>
  </si>
  <si>
    <t xml:space="preserve">RAM</t>
  </si>
  <si>
    <t xml:space="preserve">Rampage</t>
  </si>
  <si>
    <t xml:space="preserve">Cobertura da marca na fonte: os modelos com número Fenabrave publicado somam 18.119 das 18.119 unidades da marca no acumulado jan-jul/2026 (100.00%). resíduo não aberto por modelo de 0 un.</t>
  </si>
  <si>
    <t xml:space="preserve">Dakota</t>
  </si>
  <si>
    <t xml:space="preserve">Modelo lançado em 2026: não consta na Ed. 271 nem na Ed. 276; células de 2025 vazias por ausência de dado, sem estimativa. Cobertura da marca na fonte: os modelos com número Fenabrave publicado somam 18.119 das 18.119 unidades da marca no acumulado jan-jul/2026 (100.00%). resíduo não aberto por modelo de 0 un.</t>
  </si>
  <si>
    <t xml:space="preserve">3500</t>
  </si>
  <si>
    <t xml:space="preserve">A fonte separa as variantes 1500, 2500 e 3500 em linhas diferentes; separação mantida. Cobertura da marca na fonte: os modelos com número Fenabrave publicado somam 18.119 das 18.119 unidades da marca no acumulado jan-jul/2026 (100.00%). resíduo não aberto por modelo de 0 un.</t>
  </si>
  <si>
    <t xml:space="preserve">2500</t>
  </si>
  <si>
    <t xml:space="preserve">1500</t>
  </si>
  <si>
    <t xml:space="preserve">Mitsubishi</t>
  </si>
  <si>
    <t xml:space="preserve">Triton</t>
  </si>
  <si>
    <t xml:space="preserve">Cobertura da marca na fonte: os modelos com número Fenabrave publicado somam 11.711 das 12.398 unidades da marca no acumulado jan-jul/2026 (94.46%). resíduo não aberto por modelo de 687 un.</t>
  </si>
  <si>
    <t xml:space="preserve">Eclipse Cross</t>
  </si>
  <si>
    <t xml:space="preserve">L200</t>
  </si>
  <si>
    <t xml:space="preserve">Inconsistência na própria fonte: o acumulado jan-jul/2025 (4.250, Ed. 271) é MAIOR que o ano fechado de 2025 (3.561, Ed. 276), o que indica reclassificação de unidades entre L200 e Triton ao longo de 2025. Os dois números foram mantidos como publicados, sem correção. Cobertura da marca na fonte: os modelos com número Fenabrave publicado somam 11.711 das 12.398 unidades da marca no acumulado jan-jul/2026 (94.46%). resíduo não aberto por modelo de 687 un. ATENÇÃO: o resíduo não publicado (687 un.) é maior que o número deste modelo (86 un.). logo esta posição pode estar incompleta: existe modelo da marca sem número publicado que poderia ficar à frente.</t>
  </si>
  <si>
    <t xml:space="preserve">Peugeot</t>
  </si>
  <si>
    <t xml:space="preserve">2008</t>
  </si>
  <si>
    <t xml:space="preserve">Cobertura da marca na fonte: os modelos com número Fenabrave publicado somam 9.974 das 9.983 unidades da marca no acumulado jan-jul/2026 (99.91%). resíduo não aberto por modelo de 9 un.</t>
  </si>
  <si>
    <t xml:space="preserve">208</t>
  </si>
  <si>
    <t xml:space="preserve">Expert</t>
  </si>
  <si>
    <t xml:space="preserve">Boxer</t>
  </si>
  <si>
    <t xml:space="preserve">Partner</t>
  </si>
  <si>
    <t xml:space="preserve">Iveco</t>
  </si>
  <si>
    <t xml:space="preserve">Daily</t>
  </si>
  <si>
    <t xml:space="preserve">A fonte separa variantes do Daily em linhas diferentes (Daily, Daily 30-130, Daily 35-180); separação mantida, nada foi consolidado. Cobertura da marca na fonte: os modelos com número Fenabrave publicado somam 3.105 das 3.106 unidades da marca no acumulado jan-jul/2026 (99.97%). resíduo não aberto por modelo de 1 un.</t>
  </si>
  <si>
    <t xml:space="preserve">Daily 30-130</t>
  </si>
  <si>
    <t xml:space="preserve">A fonte separa variantes do Daily em linhas diferentes; separação mantida. Cobertura da marca na fonte: os modelos com número Fenabrave publicado somam 3.105 das 3.106 unidades da marca no acumulado jan-jul/2026 (99.97%). resíduo não aberto por modelo de 1 un.</t>
  </si>
  <si>
    <t xml:space="preserve">Daily 35-180</t>
  </si>
  <si>
    <t xml:space="preserve">Omoda Jaecoo</t>
  </si>
  <si>
    <t xml:space="preserve">Omoda 5</t>
  </si>
  <si>
    <t xml:space="preserve">A Fenabrave não publica este modelo em 2025 (a tabela de Suv's da Ed. 271 encerra na 40ª posição e a Ed. 276 também não o lista); células de 2025 vazias, sem estimativa. A Fenabrave trata Omoda e Jaecoo como marca única. Cobertura da marca na fonte: os modelos com número Fenabrave publicado somam 21.221 das 22.561 unidades da marca no acumulado jan-jul/2026 (94.06%). resíduo não aberto por modelo de 1.340 un.</t>
  </si>
  <si>
    <t xml:space="preserve">Jaecoo 7</t>
  </si>
  <si>
    <t xml:space="preserve">Marca com apenas 2 modelos publicados, cobrindo 94,1% do total da marca; os demais modelos da linha não têm número publicado e não foram estimados. Cobertura da marca na fonte: os modelos com número Fenabrave publicado somam 21.221 das 22.561 unidades da marca no acumulado jan-jul/2026 (94.06%). resíduo não aberto por modelo de 1.340 un.</t>
  </si>
  <si>
    <t xml:space="preserve">nome</t>
  </si>
  <si>
    <t xml:space="preserve">periodo_coberto</t>
  </si>
  <si>
    <t xml:space="preserve">data_publicacao</t>
  </si>
  <si>
    <t xml:space="preserve">o_que_foi_extraido</t>
  </si>
  <si>
    <t xml:space="preserve">Fenabrave — Informativo de Emplacamentos, Ed. 283 (referência julho/2026)</t>
  </si>
  <si>
    <t xml:space="preserve">jan-jul/2026 (acumulado) e jul/2026 (mês)</t>
  </si>
  <si>
    <t xml:space="preserve">Coluna emplacamentos_2026_ytd de todas as linhas da aba base. Extraídas as tabelas de modelos por segmento (Veículos de Entrada, Hatch Pequenos, Hatch Médios, Sedans Pequenos, Sedans Compactos, Sedans médios, Sedans Grandes, Sw Médios, Sw Grandes, Monocab, Grandcab, Sports, Suv's, Pick-up's Pequenas, Pick-up's Grandes, Furgões, Furgões Pequenos), o ranking de modelos acumulado (automóveis e comerciais leves, 50 posições cada lista) e o ranking de marcas acumulado jan-jul/2026 (21 posições), este último usado para calcular a cobertura por marca. Data impressa no documento: São Paulo, Agosto de 2026; PDF gerado em 2026-08-03.</t>
  </si>
  <si>
    <t xml:space="preserve">Fenabrave — Informativo de Emplacamentos, Ed. 271 (referência julho/2025)</t>
  </si>
  <si>
    <t xml:space="preserve">https://www.fenabrave.org.br/portal/files/2025_07_02.pdf</t>
  </si>
  <si>
    <t xml:space="preserve">jan-jul/2025 (acumulado) e jul/2025 (mês)</t>
  </si>
  <si>
    <t xml:space="preserve">Coluna emplacamentos_2025_ytd de todas as linhas da aba base. Mesmas tabelas de segmento e mesmo ranking de modelos acumulado, referentes a jan-jul/2025, mais o ranking de marcas jan-jul/2025 (21 posições). Data impressa: São Paulo, Agosto de 2025; PDF gerado em 2025-08-01.</t>
  </si>
  <si>
    <t xml:space="preserve">Fenabrave — Informativo de Emplacamentos, Ed. 276 (referência dezembro/2025)</t>
  </si>
  <si>
    <t xml:space="preserve">https://www.fenabrave.org.br/portal/files/2025_12_02.pdf</t>
  </si>
  <si>
    <t xml:space="preserve">jan-dez/2025 (ano fechado)</t>
  </si>
  <si>
    <t xml:space="preserve">Coluna emplacamentos_2025 (ano civil fechado) de todas as linhas da aba base, e o ranking de marcas de automóveis e comerciais leves do ano fechado de 2025 (21 posições), que é a base do corte de 5.000 unidades. Data impressa: São Paulo, Janeiro de 2026. ATENÇÃO ao abrir: a url responde HTTP 200 e baixa normalmente no navegador, mas alguns proxies e leitores de PDF devolvem 404 nela; se acontecer, a mesma edição está em https://online.fliphtml5.com/ordey/gayj/ (flipbook publicado pela própria Fenabrave).</t>
  </si>
  <si>
    <t xml:space="preserve">Fenabrave — Anuário 2025</t>
  </si>
  <si>
    <t xml:space="preserve">http://www.fenabrave.org.br/anuarios/Anuario2025.pdf</t>
  </si>
  <si>
    <t xml:space="preserve">ano civil 2025</t>
  </si>
  <si>
    <t xml:space="preserve">Conferência dos totais por marca de 2025 e confirmação de que o anuário cobre o ano civil 2025, não 2024. Nenhum número da aba base saiu daqui: o anuário não abre emplacamentos por modelo dentro de cada marca, traz apenas gráficos das 10 maiores marcas por segmento.</t>
  </si>
  <si>
    <t xml:space="preserve">Fenabrave — índice dos informativos de emplacamentos</t>
  </si>
  <si>
    <t xml:space="preserve">https://www.fenabrave.org.br/portalv2/Conteudo/emplacamentos</t>
  </si>
  <si>
    <t xml:space="preserve">2003 a 2026</t>
  </si>
  <si>
    <t xml:space="preserve">Localização das urls dos informativos mensais usados acima. Nenhum número extraído.</t>
  </si>
  <si>
    <t xml:space="preserve">CarroLens — Rankings Fenabrave</t>
  </si>
  <si>
    <t xml:space="preserve">https://carrolens.com.br/rankings/2026</t>
  </si>
  <si>
    <t xml:space="preserve">jan-jul/2026 e jul/2026</t>
  </si>
  <si>
    <t xml:space="preserve">Fonte secundária que tabula Fenabrave (declara a Ed. 283 como origem). Usada apenas para confirmar qual coluna do informativo é o acumulado do ano. Publica somente o top 50 de modelos e o top 10 de marcas, insuficiente para a base. Nenhum número da aba base saiu daqui.</t>
  </si>
  <si>
    <t xml:space="preserve">AUTOO — Marcas e veículos mais vendidos 2025</t>
  </si>
  <si>
    <t xml:space="preserve">https://www.autoo.com.br/emplacamentos/marcas-mais-vendidas/2025/</t>
  </si>
  <si>
    <t xml:space="preserve">ano 2025</t>
  </si>
  <si>
    <t xml:space="preserve">FONTE CONSULTADA E DESCARTADA PARA A BASE. Tem a cauda de marcas e modelos que a Fenabrave não publica, mas não declara a Fenabrave (nem Renavam ou Detran) como origem do número. Nenhum número dela entrou na aba base. Aparece nos blocos abaixo apenas como referência auxiliar, sempre rotulada como NÃO-Fenabrave.</t>
  </si>
  <si>
    <t xml:space="preserve">CNN Brasil Auto / Autopapo — carros mais vendidos de 2025</t>
  </si>
  <si>
    <t xml:space="preserve">https://www.cnnbrasil.com.br/auto/conheca-os-30-carros-mais-vendidos-no-brasil-em-2025/</t>
  </si>
  <si>
    <t xml:space="preserve">FONTE CONSULTADA E DESCARTADA. Declara explicitamente a consultoria K.LUME como origem, não a Fenabrave, e usa recorte de modelo diferente (separa BYD Song Pro e Song Plus DM-i, separa Mitsubishi Triton e L200 Triton). Nenhum número dela entrou na aba base.</t>
  </si>
  <si>
    <t xml:space="preserve">MARCAS ABAIXO DO CORTE DE 5.000 EMPLACAMENTOS NO ANO FECHADO DE 2025 (fora da aba base)</t>
  </si>
  <si>
    <t xml:space="preserve">origem_do_numero</t>
  </si>
  <si>
    <t xml:space="preserve">Audi</t>
  </si>
  <si>
    <t xml:space="preserve">NÃO-Fenabrave (AUTOO)</t>
  </si>
  <si>
    <t xml:space="preserve">Provavelmente ACIMA do corte, mas a Fenabrave não publica a marca — o ranking de marcas encerra na 21ª posição. Sem número Fenabrave não foi possível confirmar o corte, por isso ficou fora da base.</t>
  </si>
  <si>
    <t xml:space="preserve">Kia</t>
  </si>
  <si>
    <t xml:space="preserve">Fenabrave (Ed. 276, ranking de comerciais leves)</t>
  </si>
  <si>
    <t xml:space="preserve">CORTE INDETERMINADO, não confirmado abaixo de 5.000. A Fenabrave publica 3.072 un. de comerciais leves (K2500 + UK2500) e não publica o volume de automóveis da marca, que necessariamente é menor que 5.522 un. (21º do ranking de automóveis). O total pode ficar acima ou abaixo de 5.000 e não há número Fenabrave que decida. A AUTOO dá 4.400 no total, mas não declara Fenabrave. A marca ficou fora da base por indefinição do corte, não por estar comprovadamente abaixo dele.</t>
  </si>
  <si>
    <t xml:space="preserve">Geely</t>
  </si>
  <si>
    <t xml:space="preserve">Fenabrave (Anuário 2025, tabela de eletrificados)</t>
  </si>
  <si>
    <t xml:space="preserve">O único número Fenabrave disponível é de eletrificados, não do total da marca; a AUTOO dá 3.368 no total. Abaixo do corte nas duas leituras. Note que em jan-jul/2026 a Geely já é a 14ª marca do país, com 25.601 un., ou seja, entraria com folga num corte baseado em 2026.</t>
  </si>
  <si>
    <t xml:space="preserve">GAC</t>
  </si>
  <si>
    <t xml:space="preserve">Abaixo do corte em 2025. Em jan-jul/2026 aparece em 21º no ranking Fenabrave, com 6.891 un.</t>
  </si>
  <si>
    <t xml:space="preserve">Land Rover</t>
  </si>
  <si>
    <t xml:space="preserve">Abaixo do corte.</t>
  </si>
  <si>
    <t xml:space="preserve">Effa</t>
  </si>
  <si>
    <t xml:space="preserve">Fenabrave (Ed. 276, comerciais leves)</t>
  </si>
  <si>
    <t xml:space="preserve">VW Truck e Bus (leves)</t>
  </si>
  <si>
    <t xml:space="preserve">A Fenabrave trata como marca separada da Volkswagen. Abaixo do corte.</t>
  </si>
  <si>
    <t xml:space="preserve">Mini</t>
  </si>
  <si>
    <t xml:space="preserve">Suzuki</t>
  </si>
  <si>
    <t xml:space="preserve">Lexus</t>
  </si>
  <si>
    <t xml:space="preserve">Foton</t>
  </si>
  <si>
    <t xml:space="preserve">JAC</t>
  </si>
  <si>
    <t xml:space="preserve">Leapmotor</t>
  </si>
  <si>
    <t xml:space="preserve">Abaixo do corte em 2025. Em jan-jul/2026 aparece em 21º no ranking Fenabrave de automóveis, com 4.942 un.</t>
  </si>
  <si>
    <t xml:space="preserve">Zeekr</t>
  </si>
  <si>
    <t xml:space="preserve">Shineray</t>
  </si>
  <si>
    <t xml:space="preserve">Outras marcas abaixo de 500 un. em 2025</t>
  </si>
  <si>
    <t xml:space="preserve">NÃO-Fenabrave (AUTOO / CarBlog)</t>
  </si>
  <si>
    <t xml:space="preserve">Neta 208, Cadillac 144, MG 89, Fever 86, Riddara 80, Subaru 75, Ferrari 61, Lamborghini 39, Denza 38, Tesla 30, Seres 26, McLaren 18, Jaguar 17, Aston Martin 16, Alfa Romeo 15, Hitech-E 15, Bentley 12, Rolls-Royce 8, Maserati 1. Todas muito abaixo do corte.</t>
  </si>
  <si>
    <t xml:space="preserve">CAOA Changan</t>
  </si>
  <si>
    <t xml:space="preserve">—</t>
  </si>
  <si>
    <t xml:space="preserve">Sem número de 2025 em nenhuma fonte: a marca começou a vender no Brasil em 2026. Em jan-jul/2026 já tem 3.525 un. só no Unit-T, mas isso é fora da janela do corte.</t>
  </si>
  <si>
    <t xml:space="preserve">Chery (como marca separada de CAOA Chery)</t>
  </si>
  <si>
    <t xml:space="preserve">Não existe entrada separada em nenhuma fonte; a Fenabrave usa CAOA CHERY. Não aplicável ao corte.</t>
  </si>
  <si>
    <t xml:space="preserve">Lifan / Hafei / Troller</t>
  </si>
  <si>
    <t xml:space="preserve">Não aparecem em nenhuma lista de 2025 consultada; sem emplacamentos relevantes.</t>
  </si>
  <si>
    <t xml:space="preserve">MARCAS ACIMA DO CORTE DE 5.000 EM 2025 QUE FICARAM FORA DA ABA BASE POR FALTA DE DADO POR MODELO</t>
  </si>
  <si>
    <t xml:space="preserve">motivo_da_exclusao</t>
  </si>
  <si>
    <t xml:space="preserve">Citroën</t>
  </si>
  <si>
    <t xml:space="preserve">Cobertura insuficiente. Os modelos publicados em jan-jul/2026 (Basalt 8.427, C3 7.948, Jumpy 1.066, Jumper 250) somam 17.691 das 20.068 un. da marca, ou 88,2%. O C3 Aircross não tem acumulado total publicado em 2026: está fora do top 50 de automóveis (corte em 7.009) e fora do top 40 de Suv's (corte em 3.209). Com algo entre 1.317 e 2.377 un. ele ficaria à frente do 3º e do 4º colocados, então o ranking interno da marca sairia falso. A Ed. 283 só o publica na tabela de venda direta, como CITROEN/AIRCROSS 1.317 un. (50º, p. 32) — número parcial, incompatível com o critério de emplacamentos totais usado na base. Marca excluída em vez de publicada errada.</t>
  </si>
  <si>
    <t xml:space="preserve">BMW</t>
  </si>
  <si>
    <t xml:space="preserve">Cobertura insuficiente. Os modelos publicados somam 2.729 das 8.418 un. da marca em jan-jul/2026, ou 32,4%. O modelo mais vendido da marca no país (X1, 2.954 un. em jan-jul/2025) não aparece em 2026 porque a tabela de Suv's encerra na 40ª posição. Um top 5 montado com o que existe listaria o 320i e o M2 como principais da BMW, o que é falso.</t>
  </si>
  <si>
    <t xml:space="preserve">Mercedes-Benz</t>
  </si>
  <si>
    <t xml:space="preserve">A Fenabrave não publica o total da marca em jan-jul/2026: ela fica fora das 21 posições do ranking combinado e só aparece com 1.007 un. em comerciais leves. Sem o total não há como testar a cobertura. Os modelos publicados são Sprinter, Classe C e variantes AMG/CLA, enquanto os SUVs GLC, GLA e GLB, que concentram o volume, não são publicados.</t>
  </si>
  <si>
    <t xml:space="preserve">Volvo</t>
  </si>
  <si>
    <t xml:space="preserve">Nenhum modelo Volvo tem número publicado em jan-jul/2026. O XC60 e o EX30 apareciam na tabela de Suv's da Ed. 271, mas em 2026 essa tabela encerra em 3.209 un. e nenhum Volvo alcança esse corte. Sem modelo não há linha.</t>
  </si>
  <si>
    <t xml:space="preserve">Porsche</t>
  </si>
  <si>
    <t xml:space="preserve">A Fenabrave não publica o total da marca em jan-jul/2026 (fora das 21 posições), o que impede o teste de cobertura. Os modelos publicados (911, Panamera, Boxster, Cayman) somam 1.035 un., enquanto Macan e Cayenne, que concentram o volume da marca no Brasil, não são publicados.</t>
  </si>
  <si>
    <t xml:space="preserve">MODELOS EM QUE NÃO FOI ENCONTRADO NÚMERO (célula deixada vazia na aba base, sem estimativa)</t>
  </si>
  <si>
    <t xml:space="preserve">coluna_sem_numero</t>
  </si>
  <si>
    <t xml:space="preserve">motivo</t>
  </si>
  <si>
    <t xml:space="preserve">emplacamentos_2025_ytd e emplacamentos_2025</t>
  </si>
  <si>
    <t xml:space="preserve">Não consta nas tabelas de segmento nem no ranking de modelos da Ed. 271 nem da Ed. 276.</t>
  </si>
  <si>
    <t xml:space="preserve">Nenhuma ocorrência do nome em nenhuma tabela da Ed. 271 nem da Ed. 276 (verificado por varredura das duas edições).</t>
  </si>
  <si>
    <t xml:space="preserve">Modelo lançado em 2026; não existe nas edições de 2025.</t>
  </si>
  <si>
    <t xml:space="preserve">A tabela de Suv's da Ed. 271 encerra na 40ª posição e a Ed. 276 não lista o modelo.</t>
  </si>
  <si>
    <t xml:space="preserve">Lançado no 2º semestre de 2025; não consta no acumulado jan-jul/2025.</t>
  </si>
  <si>
    <t xml:space="preserve">A tabela de Pick-up's Grandes da Ed. 271 encerra na 11ª posição e não lista o modelo.</t>
  </si>
  <si>
    <t xml:space="preserve">NOTAS DE MÉTODO</t>
  </si>
  <si>
    <t xml:space="preserve">Corte de cobertura: marca com 5.000 emplacamentos ou mais no ANO FECHADO DE 2025 (jan-dez/2025), automóveis mais comerciais leves, conforme o ranking de marcas da Ed. 276.</t>
  </si>
  <si>
    <t xml:space="preserve">Ranking dos modelos dentro de cada marca (coluna posicao_na_marca): acumulado jan-jul/2026, conforme a Ed. 283.</t>
  </si>
  <si>
    <t xml:space="preserve">variacao_pct compara jan-jul/2026 com jan-jul/2025, mesma janela de 7 meses nos dois anos. A coluna emplacamentos_2025 é o ano civil fechado e NÃO deve ser usada como base de variação: comparar 7 meses com 12 meses produziria queda artificial em todo modelo.</t>
  </si>
  <si>
    <t xml:space="preserve">Critério de contagem uniforme em todas as marcas: emplacamentos totais, incluindo venda direta e frota. Nenhuma linha da aba base usa número de venda a varejo.</t>
  </si>
  <si>
    <t xml:space="preserve">Limite estrutural da fonte: a Fenabrave publica o ranking de marcas apenas até a 21ª posição e trunca as tabelas de modelos por segmento (Suv's na 40ª posição, Pick-up's Grandes na 11ª, Furgões na 7ª). Por isso não existe número Fenabrave por modelo para as marcas premium e para várias chinesas.</t>
  </si>
  <si>
    <t xml:space="preserve">Regra de inclusão de marca aplicada: a marca entra na base se os modelos com número Fenabrave publicado cobrirem 94% ou mais do total da marca no acumulado jan-jul/2026. Abaixo disso o ranking interno da marca seria falso e a marca foi excluída, com o motivo registrado no bloco de exclusões acima.</t>
  </si>
  <si>
    <t xml:space="preserve">Quando o resíduo não aberto por modelo é maior que o número de um modelo listado, a coluna observacao daquela linha traz um aviso de que a posição pode estar incompleta.</t>
  </si>
  <si>
    <t xml:space="preserve">Marcas com menos de 5 linhas na base (Jeep 3, CAOA Chery 4, Mitsubishi 3, Iveco 3, Omoda Jaecoo 2) são marcas de cobertura alta que simplesmente não têm 5 modelos com número na fonte. Nenhum número foi estimado para completar cinco linhas.</t>
  </si>
  <si>
    <t xml:space="preserve">PONTO CEGO DO CORTE: o ranking de marcas da Ed. 276 encerra na 21ª posição, em 7.219 un. (Omoda Jaecoo). Logo o corte de 5.000 só é verificável com dado Fenabrave até 7.219 un.: uma marca com total entre 5.000 e 7.219 pode existir sem aparecer em lista nenhuma. Nessa faixa cega estão pelo menos Kia e Audi. Porsche (5.522) e Iveco (5.146) só foram recuperados porque aparecem nos rankings separados de automóveis e de comerciais leves.</t>
  </si>
  <si>
    <t xml:space="preserve">Normalização de nomes na coluna marca: a Fenabrave imprime GM (aqui Chevrolet), VW (aqui Volkswagen) e M.BENZ (Mercedes-Benz). Os nomes de modelo foram mantidos como a fonte escreve, ajustada apenas a capitalização.</t>
  </si>
  <si>
    <t xml:space="preserve">Nenhum valor foi estimado, interpolado ou completado. Célula vazia significa número não encontrado na fonte, com o motivo registrado na coluna observacao e no bloco de modelos sem número acima.</t>
  </si>
  <si>
    <t xml:space="preserve">Divergências internas do próprio informativo Fenabrave, entre o ranking geral de modelos e a tabela por segmento, foram resolvidas adotando o ranking geral, com os dois números registrados na coluna observacao.</t>
  </si>
  <si>
    <t xml:space="preserve">Verificação: os 66 valores de 22 modelos e os 40 totais de marca usados como âncora foram reconferidos contra os PDFs originais por extração independente, sem divergência.</t>
  </si>
</sst>
</file>

<file path=xl/styles.xml><?xml version="1.0" encoding="utf-8"?>
<styleSheet xmlns="http://schemas.openxmlformats.org/spreadsheetml/2006/main">
  <numFmts count="4">
    <numFmt numFmtId="164" formatCode="General"/>
    <numFmt numFmtId="165" formatCode="#,##0"/>
    <numFmt numFmtId="166" formatCode="0.0%"/>
    <numFmt numFmtId="167" formatCode="yyyy\-mm\-dd"/>
  </numFmts>
  <fonts count="6">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s>
  <fills count="3">
    <fill>
      <patternFill patternType="none"/>
    </fill>
    <fill>
      <patternFill patternType="gray125"/>
    </fill>
    <fill>
      <patternFill patternType="solid">
        <fgColor rgb="FFD9D9D9"/>
        <bgColor rgb="FFC0C0C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D9D9D9"/>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5"/>
    <col collapsed="false" customWidth="true" hidden="false" outlineLevel="0" max="4" min="4" style="0" width="17"/>
    <col collapsed="false" customWidth="true" hidden="false" outlineLevel="0" max="6" min="5" style="0" width="22"/>
    <col collapsed="false" customWidth="true" hidden="false" outlineLevel="0" max="7" min="7" style="0" width="20"/>
    <col collapsed="false" customWidth="true" hidden="false" outlineLevel="0" max="8" min="8" style="0" width="12"/>
    <col collapsed="false" customWidth="true" hidden="false" outlineLevel="0" max="10" min="9" style="0" width="40"/>
    <col collapsed="false" customWidth="true" hidden="false" outlineLevel="0" max="11" min="11" style="0" width="52"/>
    <col collapsed="false" customWidth="true" hidden="false" outlineLevel="0" max="12" min="12" style="0" width="14"/>
    <col collapsed="false" customWidth="true" hidden="false" outlineLevel="0" max="13" min="13"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row>
    <row r="2" customFormat="false" ht="15" hidden="false" customHeight="false" outlineLevel="0" collapsed="false">
      <c r="A2" s="2" t="s">
        <v>13</v>
      </c>
      <c r="B2" s="2" t="s">
        <v>14</v>
      </c>
      <c r="C2" s="2" t="s">
        <v>15</v>
      </c>
      <c r="D2" s="2" t="n">
        <v>1</v>
      </c>
      <c r="E2" s="3" t="n">
        <v>97941</v>
      </c>
      <c r="F2" s="3" t="n">
        <v>75592</v>
      </c>
      <c r="G2" s="3" t="n">
        <v>142891</v>
      </c>
      <c r="H2" s="4" t="n">
        <f aca="false">IF(OR(E2="",F2=""),"",E2/F2-1)</f>
        <v>0.295652979151233</v>
      </c>
      <c r="I2" s="2" t="s">
        <v>16</v>
      </c>
      <c r="J2" s="2" t="s">
        <v>17</v>
      </c>
      <c r="K2" s="2" t="s">
        <v>18</v>
      </c>
      <c r="L2" s="5" t="n">
        <v>46254</v>
      </c>
      <c r="M2" s="2" t="s">
        <v>19</v>
      </c>
    </row>
    <row r="3" customFormat="false" ht="15" hidden="false" customHeight="false" outlineLevel="0" collapsed="false">
      <c r="A3" s="2" t="s">
        <v>13</v>
      </c>
      <c r="B3" s="2" t="s">
        <v>20</v>
      </c>
      <c r="C3" s="2" t="s">
        <v>21</v>
      </c>
      <c r="D3" s="2" t="n">
        <v>2</v>
      </c>
      <c r="E3" s="3" t="n">
        <v>54641</v>
      </c>
      <c r="F3" s="3" t="n">
        <v>54432</v>
      </c>
      <c r="G3" s="3" t="n">
        <v>102630</v>
      </c>
      <c r="H3" s="4" t="n">
        <f aca="false">IF(OR(E3="",F3=""),"",E3/F3-1)</f>
        <v>0.00383965314520873</v>
      </c>
      <c r="I3" s="2" t="s">
        <v>16</v>
      </c>
      <c r="J3" s="2" t="s">
        <v>17</v>
      </c>
      <c r="K3" s="2" t="s">
        <v>18</v>
      </c>
      <c r="L3" s="5" t="n">
        <v>46254</v>
      </c>
      <c r="M3" s="2" t="s">
        <v>22</v>
      </c>
    </row>
    <row r="4" customFormat="false" ht="15" hidden="false" customHeight="false" outlineLevel="0" collapsed="false">
      <c r="A4" s="2" t="s">
        <v>13</v>
      </c>
      <c r="B4" s="2" t="s">
        <v>23</v>
      </c>
      <c r="C4" s="2" t="s">
        <v>21</v>
      </c>
      <c r="D4" s="2" t="n">
        <v>3</v>
      </c>
      <c r="E4" s="3" t="n">
        <v>38685</v>
      </c>
      <c r="F4" s="3" t="n">
        <v>41329</v>
      </c>
      <c r="G4" s="3" t="n">
        <v>73011</v>
      </c>
      <c r="H4" s="4" t="n">
        <f aca="false">IF(OR(E4="",F4=""),"",E4/F4-1)</f>
        <v>-0.0639744489341625</v>
      </c>
      <c r="I4" s="2" t="s">
        <v>16</v>
      </c>
      <c r="J4" s="2" t="s">
        <v>17</v>
      </c>
      <c r="K4" s="2" t="s">
        <v>18</v>
      </c>
      <c r="L4" s="5" t="n">
        <v>46254</v>
      </c>
      <c r="M4" s="2" t="s">
        <v>22</v>
      </c>
    </row>
    <row r="5" customFormat="false" ht="15" hidden="false" customHeight="false" outlineLevel="0" collapsed="false">
      <c r="A5" s="2" t="s">
        <v>13</v>
      </c>
      <c r="B5" s="2" t="s">
        <v>24</v>
      </c>
      <c r="C5" s="2" t="s">
        <v>15</v>
      </c>
      <c r="D5" s="2" t="n">
        <v>4</v>
      </c>
      <c r="E5" s="3" t="n">
        <v>31696</v>
      </c>
      <c r="F5" s="3" t="n">
        <v>27317</v>
      </c>
      <c r="G5" s="3" t="n">
        <v>52129</v>
      </c>
      <c r="H5" s="4" t="n">
        <f aca="false">IF(OR(E5="",F5=""),"",E5/F5-1)</f>
        <v>0.160303107954753</v>
      </c>
      <c r="I5" s="2" t="s">
        <v>16</v>
      </c>
      <c r="J5" s="2" t="s">
        <v>17</v>
      </c>
      <c r="K5" s="2" t="s">
        <v>18</v>
      </c>
      <c r="L5" s="5" t="n">
        <v>46254</v>
      </c>
      <c r="M5" s="2" t="s">
        <v>22</v>
      </c>
    </row>
    <row r="6" customFormat="false" ht="15" hidden="false" customHeight="false" outlineLevel="0" collapsed="false">
      <c r="A6" s="2" t="s">
        <v>13</v>
      </c>
      <c r="B6" s="2" t="s">
        <v>25</v>
      </c>
      <c r="C6" s="2" t="s">
        <v>26</v>
      </c>
      <c r="D6" s="2" t="n">
        <v>5</v>
      </c>
      <c r="E6" s="3" t="n">
        <v>30154</v>
      </c>
      <c r="F6" s="3" t="n">
        <v>25099</v>
      </c>
      <c r="G6" s="3" t="n">
        <v>44426</v>
      </c>
      <c r="H6" s="4" t="n">
        <f aca="false">IF(OR(E6="",F6=""),"",E6/F6-1)</f>
        <v>0.201402446312602</v>
      </c>
      <c r="I6" s="2" t="s">
        <v>16</v>
      </c>
      <c r="J6" s="2" t="s">
        <v>17</v>
      </c>
      <c r="K6" s="2" t="s">
        <v>18</v>
      </c>
      <c r="L6" s="5" t="n">
        <v>46254</v>
      </c>
      <c r="M6" s="2" t="s">
        <v>22</v>
      </c>
    </row>
    <row r="7" customFormat="false" ht="15" hidden="false" customHeight="false" outlineLevel="0" collapsed="false">
      <c r="A7" s="2" t="s">
        <v>27</v>
      </c>
      <c r="B7" s="2" t="s">
        <v>28</v>
      </c>
      <c r="C7" s="2" t="s">
        <v>21</v>
      </c>
      <c r="D7" s="2" t="n">
        <v>1</v>
      </c>
      <c r="E7" s="3" t="n">
        <v>64431</v>
      </c>
      <c r="F7" s="3" t="n">
        <v>70155</v>
      </c>
      <c r="G7" s="3" t="n">
        <v>122672</v>
      </c>
      <c r="H7" s="4" t="n">
        <f aca="false">IF(OR(E7="",F7=""),"",E7/F7-1)</f>
        <v>-0.081590763309814</v>
      </c>
      <c r="I7" s="2" t="s">
        <v>16</v>
      </c>
      <c r="J7" s="2" t="s">
        <v>17</v>
      </c>
      <c r="K7" s="2" t="s">
        <v>18</v>
      </c>
      <c r="L7" s="5" t="n">
        <v>46254</v>
      </c>
      <c r="M7" s="2" t="s">
        <v>29</v>
      </c>
    </row>
    <row r="8" customFormat="false" ht="15" hidden="false" customHeight="false" outlineLevel="0" collapsed="false">
      <c r="A8" s="2" t="s">
        <v>27</v>
      </c>
      <c r="B8" s="2" t="s">
        <v>30</v>
      </c>
      <c r="C8" s="2" t="s">
        <v>26</v>
      </c>
      <c r="D8" s="2" t="n">
        <v>2</v>
      </c>
      <c r="E8" s="3" t="n">
        <v>55118</v>
      </c>
      <c r="F8" s="3" t="n">
        <v>53551</v>
      </c>
      <c r="G8" s="3" t="n">
        <v>92837</v>
      </c>
      <c r="H8" s="4" t="n">
        <f aca="false">IF(OR(E8="",F8=""),"",E8/F8-1)</f>
        <v>0.0292618251760004</v>
      </c>
      <c r="I8" s="2" t="s">
        <v>16</v>
      </c>
      <c r="J8" s="2" t="s">
        <v>17</v>
      </c>
      <c r="K8" s="2" t="s">
        <v>18</v>
      </c>
      <c r="L8" s="5" t="n">
        <v>46254</v>
      </c>
      <c r="M8" s="2" t="s">
        <v>29</v>
      </c>
    </row>
    <row r="9" customFormat="false" ht="15" hidden="false" customHeight="false" outlineLevel="0" collapsed="false">
      <c r="A9" s="2" t="s">
        <v>27</v>
      </c>
      <c r="B9" s="2" t="s">
        <v>31</v>
      </c>
      <c r="C9" s="2" t="s">
        <v>26</v>
      </c>
      <c r="D9" s="2" t="n">
        <v>3</v>
      </c>
      <c r="E9" s="3" t="n">
        <v>51585</v>
      </c>
      <c r="F9" s="3" t="n">
        <v>5994</v>
      </c>
      <c r="G9" s="3" t="n">
        <v>48139</v>
      </c>
      <c r="H9" s="4" t="n">
        <f aca="false">IF(OR(E9="",F9=""),"",E9/F9-1)</f>
        <v>7.60610610610611</v>
      </c>
      <c r="I9" s="2" t="s">
        <v>16</v>
      </c>
      <c r="J9" s="2" t="s">
        <v>17</v>
      </c>
      <c r="K9" s="2" t="s">
        <v>18</v>
      </c>
      <c r="L9" s="5" t="n">
        <v>46254</v>
      </c>
      <c r="M9" s="2" t="s">
        <v>32</v>
      </c>
    </row>
    <row r="10" customFormat="false" ht="15" hidden="false" customHeight="false" outlineLevel="0" collapsed="false">
      <c r="A10" s="2" t="s">
        <v>27</v>
      </c>
      <c r="B10" s="2" t="s">
        <v>33</v>
      </c>
      <c r="C10" s="2" t="s">
        <v>26</v>
      </c>
      <c r="D10" s="2" t="n">
        <v>4</v>
      </c>
      <c r="E10" s="3" t="n">
        <v>32235</v>
      </c>
      <c r="F10" s="3" t="n">
        <v>28375</v>
      </c>
      <c r="G10" s="3" t="n">
        <v>48690</v>
      </c>
      <c r="H10" s="4" t="n">
        <f aca="false">IF(OR(E10="",F10=""),"",E10/F10-1)</f>
        <v>0.136035242290749</v>
      </c>
      <c r="I10" s="2" t="s">
        <v>16</v>
      </c>
      <c r="J10" s="2" t="s">
        <v>17</v>
      </c>
      <c r="K10" s="2" t="s">
        <v>18</v>
      </c>
      <c r="L10" s="5" t="n">
        <v>46254</v>
      </c>
      <c r="M10" s="2" t="s">
        <v>34</v>
      </c>
    </row>
    <row r="11" customFormat="false" ht="15" hidden="false" customHeight="false" outlineLevel="0" collapsed="false">
      <c r="A11" s="2" t="s">
        <v>27</v>
      </c>
      <c r="B11" s="2" t="s">
        <v>35</v>
      </c>
      <c r="C11" s="2" t="s">
        <v>15</v>
      </c>
      <c r="D11" s="2" t="n">
        <v>5</v>
      </c>
      <c r="E11" s="3" t="n">
        <v>28588</v>
      </c>
      <c r="F11" s="3" t="n">
        <v>34843</v>
      </c>
      <c r="G11" s="3" t="n">
        <v>67752</v>
      </c>
      <c r="H11" s="4" t="n">
        <f aca="false">IF(OR(E11="",F11=""),"",E11/F11-1)</f>
        <v>-0.179519559165399</v>
      </c>
      <c r="I11" s="2" t="s">
        <v>16</v>
      </c>
      <c r="J11" s="2" t="s">
        <v>17</v>
      </c>
      <c r="K11" s="2" t="s">
        <v>18</v>
      </c>
      <c r="L11" s="5" t="n">
        <v>46254</v>
      </c>
      <c r="M11" s="2" t="s">
        <v>36</v>
      </c>
    </row>
    <row r="12" customFormat="false" ht="15" hidden="false" customHeight="false" outlineLevel="0" collapsed="false">
      <c r="A12" s="2" t="s">
        <v>37</v>
      </c>
      <c r="B12" s="2" t="s">
        <v>38</v>
      </c>
      <c r="C12" s="2" t="s">
        <v>21</v>
      </c>
      <c r="D12" s="2" t="n">
        <v>1</v>
      </c>
      <c r="E12" s="3" t="n">
        <v>54421</v>
      </c>
      <c r="F12" s="3" t="n">
        <v>42078</v>
      </c>
      <c r="G12" s="3" t="n">
        <v>79886</v>
      </c>
      <c r="H12" s="4" t="n">
        <f aca="false">IF(OR(E12="",F12=""),"",E12/F12-1)</f>
        <v>0.293336185179904</v>
      </c>
      <c r="I12" s="2" t="s">
        <v>16</v>
      </c>
      <c r="J12" s="2" t="s">
        <v>17</v>
      </c>
      <c r="K12" s="2" t="s">
        <v>18</v>
      </c>
      <c r="L12" s="5" t="n">
        <v>46254</v>
      </c>
      <c r="M12" s="2" t="s">
        <v>39</v>
      </c>
    </row>
    <row r="13" customFormat="false" ht="15" hidden="false" customHeight="false" outlineLevel="0" collapsed="false">
      <c r="A13" s="2" t="s">
        <v>37</v>
      </c>
      <c r="B13" s="2" t="s">
        <v>40</v>
      </c>
      <c r="C13" s="2" t="s">
        <v>26</v>
      </c>
      <c r="D13" s="2" t="n">
        <v>2</v>
      </c>
      <c r="E13" s="3" t="n">
        <v>34805</v>
      </c>
      <c r="F13" s="3" t="n">
        <v>34212</v>
      </c>
      <c r="G13" s="3" t="n">
        <v>60867</v>
      </c>
      <c r="H13" s="4" t="n">
        <f aca="false">IF(OR(E13="",F13=""),"",E13/F13-1)</f>
        <v>0.0173330994972525</v>
      </c>
      <c r="I13" s="2" t="s">
        <v>16</v>
      </c>
      <c r="J13" s="2" t="s">
        <v>17</v>
      </c>
      <c r="K13" s="2" t="s">
        <v>18</v>
      </c>
      <c r="L13" s="5" t="n">
        <v>46254</v>
      </c>
      <c r="M13" s="2" t="s">
        <v>41</v>
      </c>
    </row>
    <row r="14" customFormat="false" ht="15" hidden="false" customHeight="false" outlineLevel="0" collapsed="false">
      <c r="A14" s="2" t="s">
        <v>37</v>
      </c>
      <c r="B14" s="2" t="s">
        <v>42</v>
      </c>
      <c r="C14" s="2" t="s">
        <v>43</v>
      </c>
      <c r="D14" s="2" t="n">
        <v>3</v>
      </c>
      <c r="E14" s="3" t="n">
        <v>23921</v>
      </c>
      <c r="F14" s="3" t="n">
        <v>24667</v>
      </c>
      <c r="G14" s="3" t="n">
        <v>52958</v>
      </c>
      <c r="H14" s="4" t="n">
        <f aca="false">IF(OR(E14="",F14=""),"",E14/F14-1)</f>
        <v>-0.0302428345562897</v>
      </c>
      <c r="I14" s="2" t="s">
        <v>16</v>
      </c>
      <c r="J14" s="2" t="s">
        <v>17</v>
      </c>
      <c r="K14" s="2" t="s">
        <v>18</v>
      </c>
      <c r="L14" s="5" t="n">
        <v>46254</v>
      </c>
      <c r="M14" s="2" t="s">
        <v>44</v>
      </c>
    </row>
    <row r="15" customFormat="false" ht="15" hidden="false" customHeight="false" outlineLevel="0" collapsed="false">
      <c r="A15" s="2" t="s">
        <v>37</v>
      </c>
      <c r="B15" s="2" t="s">
        <v>45</v>
      </c>
      <c r="C15" s="2" t="s">
        <v>15</v>
      </c>
      <c r="D15" s="2" t="n">
        <v>4</v>
      </c>
      <c r="E15" s="3" t="n">
        <v>17570</v>
      </c>
      <c r="F15" s="3" t="n">
        <v>16429</v>
      </c>
      <c r="G15" s="3" t="n">
        <v>31451</v>
      </c>
      <c r="H15" s="4" t="n">
        <f aca="false">IF(OR(E15="",F15=""),"",E15/F15-1)</f>
        <v>0.0694503621644653</v>
      </c>
      <c r="I15" s="2" t="s">
        <v>16</v>
      </c>
      <c r="J15" s="2" t="s">
        <v>17</v>
      </c>
      <c r="K15" s="2" t="s">
        <v>18</v>
      </c>
      <c r="L15" s="5" t="n">
        <v>46254</v>
      </c>
      <c r="M15" s="2" t="s">
        <v>41</v>
      </c>
    </row>
    <row r="16" customFormat="false" ht="15" hidden="false" customHeight="false" outlineLevel="0" collapsed="false">
      <c r="A16" s="2" t="s">
        <v>37</v>
      </c>
      <c r="B16" s="2" t="s">
        <v>46</v>
      </c>
      <c r="C16" s="2" t="s">
        <v>47</v>
      </c>
      <c r="D16" s="2" t="n">
        <v>5</v>
      </c>
      <c r="E16" s="3" t="n">
        <v>11678</v>
      </c>
      <c r="F16" s="3" t="n">
        <v>12290</v>
      </c>
      <c r="G16" s="3" t="n">
        <v>22741</v>
      </c>
      <c r="H16" s="4" t="n">
        <f aca="false">IF(OR(E16="",F16=""),"",E16/F16-1)</f>
        <v>-0.0497965825874694</v>
      </c>
      <c r="I16" s="2" t="s">
        <v>16</v>
      </c>
      <c r="J16" s="2" t="s">
        <v>17</v>
      </c>
      <c r="K16" s="2" t="s">
        <v>18</v>
      </c>
      <c r="L16" s="5" t="n">
        <v>46254</v>
      </c>
      <c r="M16" s="2" t="s">
        <v>48</v>
      </c>
    </row>
    <row r="17" customFormat="false" ht="15" hidden="false" customHeight="false" outlineLevel="0" collapsed="false">
      <c r="A17" s="2" t="s">
        <v>49</v>
      </c>
      <c r="B17" s="2" t="s">
        <v>50</v>
      </c>
      <c r="C17" s="2" t="s">
        <v>21</v>
      </c>
      <c r="D17" s="2" t="n">
        <v>1</v>
      </c>
      <c r="E17" s="3" t="n">
        <v>41966</v>
      </c>
      <c r="F17" s="3" t="n">
        <v>42392</v>
      </c>
      <c r="G17" s="3" t="n">
        <v>85029</v>
      </c>
      <c r="H17" s="4" t="n">
        <f aca="false">IF(OR(E17="",F17=""),"",E17/F17-1)</f>
        <v>-0.0100490658614834</v>
      </c>
      <c r="I17" s="2" t="s">
        <v>16</v>
      </c>
      <c r="J17" s="2" t="s">
        <v>17</v>
      </c>
      <c r="K17" s="2" t="s">
        <v>18</v>
      </c>
      <c r="L17" s="5" t="n">
        <v>46254</v>
      </c>
      <c r="M17" s="2" t="s">
        <v>51</v>
      </c>
    </row>
    <row r="18" customFormat="false" ht="15" hidden="false" customHeight="false" outlineLevel="0" collapsed="false">
      <c r="A18" s="2" t="s">
        <v>49</v>
      </c>
      <c r="B18" s="2" t="s">
        <v>52</v>
      </c>
      <c r="C18" s="2" t="s">
        <v>26</v>
      </c>
      <c r="D18" s="2" t="n">
        <v>2</v>
      </c>
      <c r="E18" s="3" t="n">
        <v>41805</v>
      </c>
      <c r="F18" s="3" t="n">
        <v>39032</v>
      </c>
      <c r="G18" s="3" t="n">
        <v>76156</v>
      </c>
      <c r="H18" s="4" t="n">
        <f aca="false">IF(OR(E18="",F18=""),"",E18/F18-1)</f>
        <v>0.0710442713670834</v>
      </c>
      <c r="I18" s="2" t="s">
        <v>16</v>
      </c>
      <c r="J18" s="2" t="s">
        <v>17</v>
      </c>
      <c r="K18" s="2" t="s">
        <v>18</v>
      </c>
      <c r="L18" s="5" t="n">
        <v>46254</v>
      </c>
      <c r="M18" s="2" t="s">
        <v>51</v>
      </c>
    </row>
    <row r="19" customFormat="false" ht="15" hidden="false" customHeight="false" outlineLevel="0" collapsed="false">
      <c r="A19" s="2" t="s">
        <v>49</v>
      </c>
      <c r="B19" s="2" t="s">
        <v>53</v>
      </c>
      <c r="C19" s="2" t="s">
        <v>43</v>
      </c>
      <c r="D19" s="2" t="n">
        <v>3</v>
      </c>
      <c r="E19" s="3" t="n">
        <v>22214</v>
      </c>
      <c r="F19" s="3" t="n">
        <v>17569</v>
      </c>
      <c r="G19" s="3" t="n">
        <v>36947</v>
      </c>
      <c r="H19" s="4" t="n">
        <f aca="false">IF(OR(E19="",F19=""),"",E19/F19-1)</f>
        <v>0.264386134669019</v>
      </c>
      <c r="I19" s="2" t="s">
        <v>16</v>
      </c>
      <c r="J19" s="2" t="s">
        <v>17</v>
      </c>
      <c r="K19" s="2" t="s">
        <v>18</v>
      </c>
      <c r="L19" s="5" t="n">
        <v>46254</v>
      </c>
      <c r="M19" s="2" t="s">
        <v>54</v>
      </c>
    </row>
    <row r="20" customFormat="false" ht="15" hidden="false" customHeight="false" outlineLevel="0" collapsed="false">
      <c r="A20" s="2" t="s">
        <v>49</v>
      </c>
      <c r="B20" s="2" t="s">
        <v>55</v>
      </c>
      <c r="C20" s="2" t="s">
        <v>21</v>
      </c>
      <c r="D20" s="2" t="n">
        <v>4</v>
      </c>
      <c r="E20" s="3" t="n">
        <v>3344</v>
      </c>
      <c r="F20" s="3"/>
      <c r="G20" s="3"/>
      <c r="H20" s="4" t="str">
        <f aca="false">IF(OR(E20="",F20=""),"",E20/F20-1)</f>
        <v/>
      </c>
      <c r="I20" s="2" t="s">
        <v>16</v>
      </c>
      <c r="J20" s="2" t="s">
        <v>17</v>
      </c>
      <c r="K20" s="2" t="s">
        <v>18</v>
      </c>
      <c r="L20" s="5" t="n">
        <v>46254</v>
      </c>
      <c r="M20" s="2" t="s">
        <v>56</v>
      </c>
    </row>
    <row r="21" customFormat="false" ht="15" hidden="false" customHeight="false" outlineLevel="0" collapsed="false">
      <c r="A21" s="2" t="s">
        <v>49</v>
      </c>
      <c r="B21" s="2" t="s">
        <v>57</v>
      </c>
      <c r="C21" s="2" t="s">
        <v>58</v>
      </c>
      <c r="D21" s="2" t="n">
        <v>5</v>
      </c>
      <c r="E21" s="3" t="n">
        <v>82</v>
      </c>
      <c r="F21" s="3" t="n">
        <v>2282</v>
      </c>
      <c r="G21" s="3" t="n">
        <v>2996</v>
      </c>
      <c r="H21" s="4" t="n">
        <f aca="false">IF(OR(E21="",F21=""),"",E21/F21-1)</f>
        <v>-0.964066608238387</v>
      </c>
      <c r="I21" s="2" t="s">
        <v>16</v>
      </c>
      <c r="J21" s="2" t="s">
        <v>17</v>
      </c>
      <c r="K21" s="2" t="s">
        <v>18</v>
      </c>
      <c r="L21" s="5" t="n">
        <v>46254</v>
      </c>
      <c r="M21" s="2" t="s">
        <v>59</v>
      </c>
    </row>
    <row r="22" customFormat="false" ht="15" hidden="false" customHeight="false" outlineLevel="0" collapsed="false">
      <c r="A22" s="2" t="s">
        <v>60</v>
      </c>
      <c r="B22" s="2" t="s">
        <v>61</v>
      </c>
      <c r="C22" s="2" t="s">
        <v>15</v>
      </c>
      <c r="D22" s="2" t="n">
        <v>1</v>
      </c>
      <c r="E22" s="3" t="n">
        <v>26732</v>
      </c>
      <c r="F22" s="3" t="n">
        <v>28521</v>
      </c>
      <c r="G22" s="3" t="n">
        <v>49721</v>
      </c>
      <c r="H22" s="4" t="n">
        <f aca="false">IF(OR(E22="",F22=""),"",E22/F22-1)</f>
        <v>-0.0627257108797027</v>
      </c>
      <c r="I22" s="2" t="s">
        <v>16</v>
      </c>
      <c r="J22" s="2" t="s">
        <v>17</v>
      </c>
      <c r="K22" s="2" t="s">
        <v>18</v>
      </c>
      <c r="L22" s="5" t="n">
        <v>46254</v>
      </c>
      <c r="M22" s="2" t="s">
        <v>62</v>
      </c>
    </row>
    <row r="23" customFormat="false" ht="15" hidden="false" customHeight="false" outlineLevel="0" collapsed="false">
      <c r="A23" s="2" t="s">
        <v>60</v>
      </c>
      <c r="B23" s="2" t="s">
        <v>63</v>
      </c>
      <c r="C23" s="2" t="s">
        <v>26</v>
      </c>
      <c r="D23" s="2" t="n">
        <v>2</v>
      </c>
      <c r="E23" s="3" t="n">
        <v>22299</v>
      </c>
      <c r="F23" s="3" t="n">
        <v>36955</v>
      </c>
      <c r="G23" s="3" t="n">
        <v>59674</v>
      </c>
      <c r="H23" s="4" t="n">
        <f aca="false">IF(OR(E23="",F23=""),"",E23/F23-1)</f>
        <v>-0.39659044784197</v>
      </c>
      <c r="I23" s="2" t="s">
        <v>16</v>
      </c>
      <c r="J23" s="2" t="s">
        <v>17</v>
      </c>
      <c r="K23" s="2" t="s">
        <v>18</v>
      </c>
      <c r="L23" s="5" t="n">
        <v>46254</v>
      </c>
      <c r="M23" s="2" t="s">
        <v>62</v>
      </c>
    </row>
    <row r="24" customFormat="false" ht="15" hidden="false" customHeight="false" outlineLevel="0" collapsed="false">
      <c r="A24" s="2" t="s">
        <v>60</v>
      </c>
      <c r="B24" s="2" t="s">
        <v>64</v>
      </c>
      <c r="C24" s="2" t="s">
        <v>26</v>
      </c>
      <c r="D24" s="2" t="n">
        <v>3</v>
      </c>
      <c r="E24" s="3" t="n">
        <v>20669</v>
      </c>
      <c r="F24" s="3"/>
      <c r="G24" s="3"/>
      <c r="H24" s="4" t="str">
        <f aca="false">IF(OR(E24="",F24=""),"",E24/F24-1)</f>
        <v/>
      </c>
      <c r="I24" s="2" t="s">
        <v>16</v>
      </c>
      <c r="J24" s="2" t="s">
        <v>17</v>
      </c>
      <c r="K24" s="2" t="s">
        <v>18</v>
      </c>
      <c r="L24" s="5" t="n">
        <v>46254</v>
      </c>
      <c r="M24" s="2" t="s">
        <v>65</v>
      </c>
    </row>
    <row r="25" customFormat="false" ht="15" hidden="false" customHeight="false" outlineLevel="0" collapsed="false">
      <c r="A25" s="2" t="s">
        <v>60</v>
      </c>
      <c r="B25" s="2" t="s">
        <v>66</v>
      </c>
      <c r="C25" s="2" t="s">
        <v>43</v>
      </c>
      <c r="D25" s="2" t="n">
        <v>4</v>
      </c>
      <c r="E25" s="3" t="n">
        <v>14686</v>
      </c>
      <c r="F25" s="3" t="n">
        <v>21566</v>
      </c>
      <c r="G25" s="3" t="n">
        <v>33170</v>
      </c>
      <c r="H25" s="4" t="n">
        <f aca="false">IF(OR(E25="",F25=""),"",E25/F25-1)</f>
        <v>-0.319020680701104</v>
      </c>
      <c r="I25" s="2" t="s">
        <v>16</v>
      </c>
      <c r="J25" s="2" t="s">
        <v>17</v>
      </c>
      <c r="K25" s="2" t="s">
        <v>18</v>
      </c>
      <c r="L25" s="5" t="n">
        <v>46254</v>
      </c>
      <c r="M25" s="2" t="s">
        <v>67</v>
      </c>
    </row>
    <row r="26" customFormat="false" ht="15" hidden="false" customHeight="false" outlineLevel="0" collapsed="false">
      <c r="A26" s="2" t="s">
        <v>60</v>
      </c>
      <c r="B26" s="2" t="s">
        <v>68</v>
      </c>
      <c r="C26" s="2" t="s">
        <v>26</v>
      </c>
      <c r="D26" s="2" t="n">
        <v>5</v>
      </c>
      <c r="E26" s="3" t="n">
        <v>7737</v>
      </c>
      <c r="F26" s="3" t="n">
        <v>9807</v>
      </c>
      <c r="G26" s="3" t="n">
        <v>17056</v>
      </c>
      <c r="H26" s="4" t="n">
        <f aca="false">IF(OR(E26="",F26=""),"",E26/F26-1)</f>
        <v>-0.211073722851025</v>
      </c>
      <c r="I26" s="2" t="s">
        <v>16</v>
      </c>
      <c r="J26" s="2" t="s">
        <v>17</v>
      </c>
      <c r="K26" s="2" t="s">
        <v>18</v>
      </c>
      <c r="L26" s="5" t="n">
        <v>46254</v>
      </c>
      <c r="M26" s="2" t="s">
        <v>69</v>
      </c>
    </row>
    <row r="27" customFormat="false" ht="15" hidden="false" customHeight="false" outlineLevel="0" collapsed="false">
      <c r="A27" s="2" t="s">
        <v>70</v>
      </c>
      <c r="B27" s="2" t="s">
        <v>71</v>
      </c>
      <c r="C27" s="2" t="s">
        <v>21</v>
      </c>
      <c r="D27" s="2" t="n">
        <v>1</v>
      </c>
      <c r="E27" s="3" t="n">
        <v>34946</v>
      </c>
      <c r="F27" s="3" t="n">
        <v>30105</v>
      </c>
      <c r="G27" s="3" t="n">
        <v>58970</v>
      </c>
      <c r="H27" s="4" t="n">
        <f aca="false">IF(OR(E27="",F27=""),"",E27/F27-1)</f>
        <v>0.160803853180535</v>
      </c>
      <c r="I27" s="2" t="s">
        <v>16</v>
      </c>
      <c r="J27" s="2" t="s">
        <v>17</v>
      </c>
      <c r="K27" s="2" t="s">
        <v>18</v>
      </c>
      <c r="L27" s="5" t="n">
        <v>46254</v>
      </c>
      <c r="M27" s="2" t="s">
        <v>72</v>
      </c>
    </row>
    <row r="28" customFormat="false" ht="15" hidden="false" customHeight="false" outlineLevel="0" collapsed="false">
      <c r="A28" s="2" t="s">
        <v>70</v>
      </c>
      <c r="B28" s="2" t="s">
        <v>73</v>
      </c>
      <c r="C28" s="2" t="s">
        <v>26</v>
      </c>
      <c r="D28" s="2" t="n">
        <v>2</v>
      </c>
      <c r="E28" s="3" t="n">
        <v>8642</v>
      </c>
      <c r="F28" s="3" t="n">
        <v>11616</v>
      </c>
      <c r="G28" s="3" t="n">
        <v>19349</v>
      </c>
      <c r="H28" s="4" t="n">
        <f aca="false">IF(OR(E28="",F28=""),"",E28/F28-1)</f>
        <v>-0.256026170798898</v>
      </c>
      <c r="I28" s="2" t="s">
        <v>16</v>
      </c>
      <c r="J28" s="2" t="s">
        <v>17</v>
      </c>
      <c r="K28" s="2" t="s">
        <v>18</v>
      </c>
      <c r="L28" s="5" t="n">
        <v>46254</v>
      </c>
      <c r="M28" s="2" t="s">
        <v>74</v>
      </c>
    </row>
    <row r="29" customFormat="false" ht="15" hidden="false" customHeight="false" outlineLevel="0" collapsed="false">
      <c r="A29" s="2" t="s">
        <v>70</v>
      </c>
      <c r="B29" s="2" t="s">
        <v>75</v>
      </c>
      <c r="C29" s="2" t="s">
        <v>26</v>
      </c>
      <c r="D29" s="2" t="n">
        <v>3</v>
      </c>
      <c r="E29" s="3" t="n">
        <v>8211</v>
      </c>
      <c r="F29" s="3" t="n">
        <v>10450</v>
      </c>
      <c r="G29" s="3" t="n">
        <v>18448</v>
      </c>
      <c r="H29" s="4" t="n">
        <f aca="false">IF(OR(E29="",F29=""),"",E29/F29-1)</f>
        <v>-0.214258373205742</v>
      </c>
      <c r="I29" s="2" t="s">
        <v>16</v>
      </c>
      <c r="J29" s="2" t="s">
        <v>17</v>
      </c>
      <c r="K29" s="2" t="s">
        <v>18</v>
      </c>
      <c r="L29" s="5" t="n">
        <v>46254</v>
      </c>
      <c r="M29" s="2" t="s">
        <v>74</v>
      </c>
    </row>
    <row r="30" customFormat="false" ht="15" hidden="false" customHeight="false" outlineLevel="0" collapsed="false">
      <c r="A30" s="2" t="s">
        <v>70</v>
      </c>
      <c r="B30" s="2" t="s">
        <v>76</v>
      </c>
      <c r="C30" s="2" t="s">
        <v>26</v>
      </c>
      <c r="D30" s="2" t="n">
        <v>4</v>
      </c>
      <c r="E30" s="3" t="n">
        <v>7009</v>
      </c>
      <c r="F30" s="3"/>
      <c r="G30" s="3" t="n">
        <v>2194</v>
      </c>
      <c r="H30" s="4" t="str">
        <f aca="false">IF(OR(E30="",F30=""),"",E30/F30-1)</f>
        <v/>
      </c>
      <c r="I30" s="2" t="s">
        <v>16</v>
      </c>
      <c r="J30" s="2" t="s">
        <v>17</v>
      </c>
      <c r="K30" s="2" t="s">
        <v>18</v>
      </c>
      <c r="L30" s="5" t="n">
        <v>46254</v>
      </c>
      <c r="M30" s="2" t="s">
        <v>77</v>
      </c>
    </row>
    <row r="31" customFormat="false" ht="15" hidden="false" customHeight="false" outlineLevel="0" collapsed="false">
      <c r="A31" s="2" t="s">
        <v>70</v>
      </c>
      <c r="B31" s="2" t="s">
        <v>78</v>
      </c>
      <c r="C31" s="2" t="s">
        <v>58</v>
      </c>
      <c r="D31" s="2" t="n">
        <v>5</v>
      </c>
      <c r="E31" s="3" t="n">
        <v>6742</v>
      </c>
      <c r="F31" s="3" t="n">
        <v>9164</v>
      </c>
      <c r="G31" s="3" t="n">
        <v>15771</v>
      </c>
      <c r="H31" s="4" t="n">
        <f aca="false">IF(OR(E31="",F31=""),"",E31/F31-1)</f>
        <v>-0.264295067656045</v>
      </c>
      <c r="I31" s="2" t="s">
        <v>16</v>
      </c>
      <c r="J31" s="2" t="s">
        <v>17</v>
      </c>
      <c r="K31" s="2" t="s">
        <v>18</v>
      </c>
      <c r="L31" s="5" t="n">
        <v>46254</v>
      </c>
      <c r="M31" s="2" t="s">
        <v>79</v>
      </c>
    </row>
    <row r="32" customFormat="false" ht="15" hidden="false" customHeight="false" outlineLevel="0" collapsed="false">
      <c r="A32" s="2" t="s">
        <v>80</v>
      </c>
      <c r="B32" s="2" t="s">
        <v>81</v>
      </c>
      <c r="C32" s="2" t="s">
        <v>26</v>
      </c>
      <c r="D32" s="2" t="n">
        <v>1</v>
      </c>
      <c r="E32" s="3" t="n">
        <v>31886</v>
      </c>
      <c r="F32" s="3" t="n">
        <v>32466</v>
      </c>
      <c r="G32" s="3" t="n">
        <v>61255</v>
      </c>
      <c r="H32" s="4" t="n">
        <f aca="false">IF(OR(E32="",F32=""),"",E32/F32-1)</f>
        <v>-0.0178648432206</v>
      </c>
      <c r="I32" s="2" t="s">
        <v>16</v>
      </c>
      <c r="J32" s="2" t="s">
        <v>17</v>
      </c>
      <c r="K32" s="2" t="s">
        <v>18</v>
      </c>
      <c r="L32" s="5" t="n">
        <v>46254</v>
      </c>
      <c r="M32" s="2" t="s">
        <v>82</v>
      </c>
    </row>
    <row r="33" customFormat="false" ht="15" hidden="false" customHeight="false" outlineLevel="0" collapsed="false">
      <c r="A33" s="2" t="s">
        <v>80</v>
      </c>
      <c r="B33" s="2" t="s">
        <v>83</v>
      </c>
      <c r="C33" s="2" t="s">
        <v>26</v>
      </c>
      <c r="D33" s="2" t="n">
        <v>2</v>
      </c>
      <c r="E33" s="3" t="n">
        <v>23989</v>
      </c>
      <c r="F33" s="3" t="n">
        <v>24377</v>
      </c>
      <c r="G33" s="3" t="n">
        <v>44793</v>
      </c>
      <c r="H33" s="4" t="n">
        <f aca="false">IF(OR(E33="",F33=""),"",E33/F33-1)</f>
        <v>-0.0159166427370062</v>
      </c>
      <c r="I33" s="2" t="s">
        <v>16</v>
      </c>
      <c r="J33" s="2" t="s">
        <v>17</v>
      </c>
      <c r="K33" s="2" t="s">
        <v>18</v>
      </c>
      <c r="L33" s="5" t="n">
        <v>46254</v>
      </c>
      <c r="M33" s="2" t="s">
        <v>82</v>
      </c>
    </row>
    <row r="34" customFormat="false" ht="15" hidden="false" customHeight="false" outlineLevel="0" collapsed="false">
      <c r="A34" s="2" t="s">
        <v>80</v>
      </c>
      <c r="B34" s="2" t="s">
        <v>84</v>
      </c>
      <c r="C34" s="2" t="s">
        <v>26</v>
      </c>
      <c r="D34" s="2" t="n">
        <v>3</v>
      </c>
      <c r="E34" s="3" t="n">
        <v>9499</v>
      </c>
      <c r="F34" s="3" t="n">
        <v>8530</v>
      </c>
      <c r="G34" s="3" t="n">
        <v>17786</v>
      </c>
      <c r="H34" s="4" t="n">
        <f aca="false">IF(OR(E34="",F34=""),"",E34/F34-1)</f>
        <v>0.113599062133646</v>
      </c>
      <c r="I34" s="2" t="s">
        <v>16</v>
      </c>
      <c r="J34" s="2" t="s">
        <v>17</v>
      </c>
      <c r="K34" s="2" t="s">
        <v>18</v>
      </c>
      <c r="L34" s="5" t="n">
        <v>46254</v>
      </c>
      <c r="M34" s="2" t="s">
        <v>82</v>
      </c>
    </row>
    <row r="35" customFormat="false" ht="15" hidden="false" customHeight="false" outlineLevel="0" collapsed="false">
      <c r="A35" s="2" t="s">
        <v>85</v>
      </c>
      <c r="B35" s="2" t="s">
        <v>86</v>
      </c>
      <c r="C35" s="2" t="s">
        <v>21</v>
      </c>
      <c r="D35" s="2" t="n">
        <v>1</v>
      </c>
      <c r="E35" s="3" t="n">
        <v>42930</v>
      </c>
      <c r="F35" s="3" t="n">
        <v>16221</v>
      </c>
      <c r="G35" s="3" t="n">
        <v>32459</v>
      </c>
      <c r="H35" s="4" t="n">
        <f aca="false">IF(OR(E35="",F35=""),"",E35/F35-1)</f>
        <v>1.64656926206769</v>
      </c>
      <c r="I35" s="2" t="s">
        <v>16</v>
      </c>
      <c r="J35" s="2" t="s">
        <v>17</v>
      </c>
      <c r="K35" s="2" t="s">
        <v>18</v>
      </c>
      <c r="L35" s="5" t="n">
        <v>46254</v>
      </c>
      <c r="M35" s="2" t="s">
        <v>87</v>
      </c>
    </row>
    <row r="36" customFormat="false" ht="15" hidden="false" customHeight="false" outlineLevel="0" collapsed="false">
      <c r="A36" s="2" t="s">
        <v>85</v>
      </c>
      <c r="B36" s="2" t="s">
        <v>88</v>
      </c>
      <c r="C36" s="2" t="s">
        <v>26</v>
      </c>
      <c r="D36" s="2" t="n">
        <v>2</v>
      </c>
      <c r="E36" s="3" t="n">
        <v>38352</v>
      </c>
      <c r="F36" s="3" t="n">
        <v>20647</v>
      </c>
      <c r="G36" s="3" t="n">
        <v>42181</v>
      </c>
      <c r="H36" s="4" t="n">
        <f aca="false">IF(OR(E36="",F36=""),"",E36/F36-1)</f>
        <v>0.857509565554318</v>
      </c>
      <c r="I36" s="2" t="s">
        <v>16</v>
      </c>
      <c r="J36" s="2" t="s">
        <v>17</v>
      </c>
      <c r="K36" s="2" t="s">
        <v>18</v>
      </c>
      <c r="L36" s="5" t="n">
        <v>46254</v>
      </c>
      <c r="M36" s="2" t="s">
        <v>89</v>
      </c>
    </row>
    <row r="37" customFormat="false" ht="15" hidden="false" customHeight="false" outlineLevel="0" collapsed="false">
      <c r="A37" s="2" t="s">
        <v>85</v>
      </c>
      <c r="B37" s="2" t="s">
        <v>90</v>
      </c>
      <c r="C37" s="2" t="s">
        <v>21</v>
      </c>
      <c r="D37" s="2" t="n">
        <v>3</v>
      </c>
      <c r="E37" s="3" t="n">
        <v>24533</v>
      </c>
      <c r="F37" s="3" t="n">
        <v>7586</v>
      </c>
      <c r="G37" s="3" t="n">
        <v>15216</v>
      </c>
      <c r="H37" s="4" t="n">
        <f aca="false">IF(OR(E37="",F37=""),"",E37/F37-1)</f>
        <v>2.23398365409966</v>
      </c>
      <c r="I37" s="2" t="s">
        <v>16</v>
      </c>
      <c r="J37" s="2" t="s">
        <v>17</v>
      </c>
      <c r="K37" s="2" t="s">
        <v>18</v>
      </c>
      <c r="L37" s="5" t="n">
        <v>46254</v>
      </c>
      <c r="M37" s="2" t="s">
        <v>87</v>
      </c>
    </row>
    <row r="38" customFormat="false" ht="15" hidden="false" customHeight="false" outlineLevel="0" collapsed="false">
      <c r="A38" s="2" t="s">
        <v>85</v>
      </c>
      <c r="B38" s="2" t="s">
        <v>91</v>
      </c>
      <c r="C38" s="2" t="s">
        <v>43</v>
      </c>
      <c r="D38" s="2" t="n">
        <v>4</v>
      </c>
      <c r="E38" s="3" t="n">
        <v>9801</v>
      </c>
      <c r="F38" s="3" t="n">
        <v>7217</v>
      </c>
      <c r="G38" s="3" t="n">
        <v>12402</v>
      </c>
      <c r="H38" s="4" t="n">
        <f aca="false">IF(OR(E38="",F38=""),"",E38/F38-1)</f>
        <v>0.358043508382985</v>
      </c>
      <c r="I38" s="2" t="s">
        <v>16</v>
      </c>
      <c r="J38" s="2" t="s">
        <v>17</v>
      </c>
      <c r="K38" s="2" t="s">
        <v>18</v>
      </c>
      <c r="L38" s="5" t="n">
        <v>46254</v>
      </c>
      <c r="M38" s="2" t="s">
        <v>87</v>
      </c>
    </row>
    <row r="39" customFormat="false" ht="15" hidden="false" customHeight="false" outlineLevel="0" collapsed="false">
      <c r="A39" s="2" t="s">
        <v>85</v>
      </c>
      <c r="B39" s="2" t="s">
        <v>92</v>
      </c>
      <c r="C39" s="2" t="s">
        <v>26</v>
      </c>
      <c r="D39" s="2" t="n">
        <v>5</v>
      </c>
      <c r="E39" s="3" t="n">
        <v>4076</v>
      </c>
      <c r="F39" s="3" t="n">
        <v>3230</v>
      </c>
      <c r="G39" s="3" t="n">
        <v>6019</v>
      </c>
      <c r="H39" s="4" t="n">
        <f aca="false">IF(OR(E39="",F39=""),"",E39/F39-1)</f>
        <v>0.261919504643963</v>
      </c>
      <c r="I39" s="2" t="s">
        <v>16</v>
      </c>
      <c r="J39" s="2" t="s">
        <v>17</v>
      </c>
      <c r="K39" s="2" t="s">
        <v>18</v>
      </c>
      <c r="L39" s="5" t="n">
        <v>46254</v>
      </c>
      <c r="M39" s="2" t="s">
        <v>87</v>
      </c>
    </row>
    <row r="40" customFormat="false" ht="15" hidden="false" customHeight="false" outlineLevel="0" collapsed="false">
      <c r="A40" s="2" t="s">
        <v>93</v>
      </c>
      <c r="B40" s="2" t="s">
        <v>94</v>
      </c>
      <c r="C40" s="2" t="s">
        <v>26</v>
      </c>
      <c r="D40" s="2" t="n">
        <v>1</v>
      </c>
      <c r="E40" s="3" t="n">
        <v>26366</v>
      </c>
      <c r="F40" s="3" t="n">
        <v>36086</v>
      </c>
      <c r="G40" s="3" t="n">
        <v>61227</v>
      </c>
      <c r="H40" s="4" t="n">
        <f aca="false">IF(OR(E40="",F40=""),"",E40/F40-1)</f>
        <v>-0.269356537161226</v>
      </c>
      <c r="I40" s="2" t="s">
        <v>16</v>
      </c>
      <c r="J40" s="2" t="s">
        <v>17</v>
      </c>
      <c r="K40" s="2" t="s">
        <v>18</v>
      </c>
      <c r="L40" s="5" t="n">
        <v>46254</v>
      </c>
      <c r="M40" s="2" t="s">
        <v>95</v>
      </c>
    </row>
    <row r="41" customFormat="false" ht="15" hidden="false" customHeight="false" outlineLevel="0" collapsed="false">
      <c r="A41" s="2" t="s">
        <v>93</v>
      </c>
      <c r="B41" s="2" t="s">
        <v>96</v>
      </c>
      <c r="C41" s="2" t="s">
        <v>26</v>
      </c>
      <c r="D41" s="2" t="n">
        <v>2</v>
      </c>
      <c r="E41" s="3" t="n">
        <v>20706</v>
      </c>
      <c r="F41" s="3"/>
      <c r="G41" s="3" t="n">
        <v>4588</v>
      </c>
      <c r="H41" s="4" t="str">
        <f aca="false">IF(OR(E41="",F41=""),"",E41/F41-1)</f>
        <v/>
      </c>
      <c r="I41" s="2" t="s">
        <v>16</v>
      </c>
      <c r="J41" s="2" t="s">
        <v>17</v>
      </c>
      <c r="K41" s="2" t="s">
        <v>18</v>
      </c>
      <c r="L41" s="5" t="n">
        <v>46254</v>
      </c>
      <c r="M41" s="2" t="s">
        <v>97</v>
      </c>
    </row>
    <row r="42" customFormat="false" ht="15" hidden="false" customHeight="false" outlineLevel="0" collapsed="false">
      <c r="A42" s="2" t="s">
        <v>93</v>
      </c>
      <c r="B42" s="2" t="s">
        <v>98</v>
      </c>
      <c r="C42" s="2" t="s">
        <v>43</v>
      </c>
      <c r="D42" s="2" t="n">
        <v>3</v>
      </c>
      <c r="E42" s="3" t="n">
        <v>8902</v>
      </c>
      <c r="F42" s="3" t="n">
        <v>9927</v>
      </c>
      <c r="G42" s="3" t="n">
        <v>17782</v>
      </c>
      <c r="H42" s="4" t="n">
        <f aca="false">IF(OR(E42="",F42=""),"",E42/F42-1)</f>
        <v>-0.103253752392465</v>
      </c>
      <c r="I42" s="2" t="s">
        <v>16</v>
      </c>
      <c r="J42" s="2" t="s">
        <v>17</v>
      </c>
      <c r="K42" s="2" t="s">
        <v>18</v>
      </c>
      <c r="L42" s="5" t="n">
        <v>46254</v>
      </c>
      <c r="M42" s="2" t="s">
        <v>99</v>
      </c>
    </row>
    <row r="43" customFormat="false" ht="15" hidden="false" customHeight="false" outlineLevel="0" collapsed="false">
      <c r="A43" s="2" t="s">
        <v>93</v>
      </c>
      <c r="B43" s="2" t="s">
        <v>100</v>
      </c>
      <c r="C43" s="2" t="s">
        <v>21</v>
      </c>
      <c r="D43" s="2" t="n">
        <v>4</v>
      </c>
      <c r="E43" s="3" t="n">
        <v>7079</v>
      </c>
      <c r="F43" s="3" t="n">
        <v>8826</v>
      </c>
      <c r="G43" s="3" t="n">
        <v>15761</v>
      </c>
      <c r="H43" s="4" t="n">
        <f aca="false">IF(OR(E43="",F43=""),"",E43/F43-1)</f>
        <v>-0.197937910718332</v>
      </c>
      <c r="I43" s="2" t="s">
        <v>16</v>
      </c>
      <c r="J43" s="2" t="s">
        <v>17</v>
      </c>
      <c r="K43" s="2" t="s">
        <v>18</v>
      </c>
      <c r="L43" s="5" t="n">
        <v>46254</v>
      </c>
      <c r="M43" s="2" t="s">
        <v>101</v>
      </c>
    </row>
    <row r="44" customFormat="false" ht="15" hidden="false" customHeight="false" outlineLevel="0" collapsed="false">
      <c r="A44" s="2" t="s">
        <v>93</v>
      </c>
      <c r="B44" s="2" t="s">
        <v>102</v>
      </c>
      <c r="C44" s="2" t="s">
        <v>43</v>
      </c>
      <c r="D44" s="2" t="n">
        <v>5</v>
      </c>
      <c r="E44" s="3" t="n">
        <v>34</v>
      </c>
      <c r="F44" s="3" t="n">
        <v>999</v>
      </c>
      <c r="G44" s="3" t="n">
        <v>1124</v>
      </c>
      <c r="H44" s="4" t="n">
        <f aca="false">IF(OR(E44="",F44=""),"",E44/F44-1)</f>
        <v>-0.965965965965966</v>
      </c>
      <c r="I44" s="2" t="s">
        <v>16</v>
      </c>
      <c r="J44" s="2" t="s">
        <v>17</v>
      </c>
      <c r="K44" s="2" t="s">
        <v>18</v>
      </c>
      <c r="L44" s="5" t="n">
        <v>46254</v>
      </c>
      <c r="M44" s="2" t="s">
        <v>103</v>
      </c>
    </row>
    <row r="45" customFormat="false" ht="15" hidden="false" customHeight="false" outlineLevel="0" collapsed="false">
      <c r="A45" s="2" t="s">
        <v>104</v>
      </c>
      <c r="B45" s="2" t="s">
        <v>105</v>
      </c>
      <c r="C45" s="2" t="s">
        <v>26</v>
      </c>
      <c r="D45" s="2" t="n">
        <v>1</v>
      </c>
      <c r="E45" s="3" t="n">
        <v>19797</v>
      </c>
      <c r="F45" s="3" t="n">
        <v>29530</v>
      </c>
      <c r="G45" s="3" t="n">
        <v>58388</v>
      </c>
      <c r="H45" s="4" t="n">
        <f aca="false">IF(OR(E45="",F45=""),"",E45/F45-1)</f>
        <v>-0.329597019979682</v>
      </c>
      <c r="I45" s="2" t="s">
        <v>16</v>
      </c>
      <c r="J45" s="2" t="s">
        <v>17</v>
      </c>
      <c r="K45" s="2" t="s">
        <v>18</v>
      </c>
      <c r="L45" s="5" t="n">
        <v>46254</v>
      </c>
      <c r="M45" s="2" t="s">
        <v>106</v>
      </c>
    </row>
    <row r="46" customFormat="false" ht="15" hidden="false" customHeight="false" outlineLevel="0" collapsed="false">
      <c r="A46" s="2" t="s">
        <v>104</v>
      </c>
      <c r="B46" s="2" t="s">
        <v>107</v>
      </c>
      <c r="C46" s="2" t="s">
        <v>26</v>
      </c>
      <c r="D46" s="2" t="n">
        <v>2</v>
      </c>
      <c r="E46" s="3" t="n">
        <v>18098</v>
      </c>
      <c r="F46" s="3"/>
      <c r="G46" s="3"/>
      <c r="H46" s="4" t="str">
        <f aca="false">IF(OR(E46="",F46=""),"",E46/F46-1)</f>
        <v/>
      </c>
      <c r="I46" s="2" t="s">
        <v>16</v>
      </c>
      <c r="J46" s="2" t="s">
        <v>17</v>
      </c>
      <c r="K46" s="2" t="s">
        <v>18</v>
      </c>
      <c r="L46" s="5" t="n">
        <v>46254</v>
      </c>
      <c r="M46" s="2" t="s">
        <v>108</v>
      </c>
    </row>
    <row r="47" customFormat="false" ht="15" hidden="false" customHeight="false" outlineLevel="0" collapsed="false">
      <c r="A47" s="2" t="s">
        <v>104</v>
      </c>
      <c r="B47" s="2" t="s">
        <v>109</v>
      </c>
      <c r="C47" s="2" t="s">
        <v>43</v>
      </c>
      <c r="D47" s="2" t="n">
        <v>3</v>
      </c>
      <c r="E47" s="3" t="n">
        <v>4241</v>
      </c>
      <c r="F47" s="3" t="n">
        <v>6297</v>
      </c>
      <c r="G47" s="3" t="n">
        <v>9261</v>
      </c>
      <c r="H47" s="4" t="n">
        <f aca="false">IF(OR(E47="",F47=""),"",E47/F47-1)</f>
        <v>-0.326504684770526</v>
      </c>
      <c r="I47" s="2" t="s">
        <v>16</v>
      </c>
      <c r="J47" s="2" t="s">
        <v>17</v>
      </c>
      <c r="K47" s="2" t="s">
        <v>18</v>
      </c>
      <c r="L47" s="5" t="n">
        <v>46254</v>
      </c>
      <c r="M47" s="2" t="s">
        <v>110</v>
      </c>
    </row>
    <row r="48" customFormat="false" ht="15" hidden="false" customHeight="false" outlineLevel="0" collapsed="false">
      <c r="A48" s="2" t="s">
        <v>104</v>
      </c>
      <c r="B48" s="2" t="s">
        <v>111</v>
      </c>
      <c r="C48" s="2" t="s">
        <v>15</v>
      </c>
      <c r="D48" s="2" t="n">
        <v>4</v>
      </c>
      <c r="E48" s="3" t="n">
        <v>1002</v>
      </c>
      <c r="F48" s="3" t="n">
        <v>4179</v>
      </c>
      <c r="G48" s="3" t="n">
        <v>5091</v>
      </c>
      <c r="H48" s="4" t="n">
        <f aca="false">IF(OR(E48="",F48=""),"",E48/F48-1)</f>
        <v>-0.760229720028715</v>
      </c>
      <c r="I48" s="2" t="s">
        <v>16</v>
      </c>
      <c r="J48" s="2" t="s">
        <v>17</v>
      </c>
      <c r="K48" s="2" t="s">
        <v>18</v>
      </c>
      <c r="L48" s="5" t="n">
        <v>46254</v>
      </c>
      <c r="M48" s="2" t="s">
        <v>106</v>
      </c>
    </row>
    <row r="49" customFormat="false" ht="15" hidden="false" customHeight="false" outlineLevel="0" collapsed="false">
      <c r="A49" s="2" t="s">
        <v>104</v>
      </c>
      <c r="B49" s="2" t="s">
        <v>112</v>
      </c>
      <c r="C49" s="2" t="s">
        <v>43</v>
      </c>
      <c r="D49" s="2" t="n">
        <v>5</v>
      </c>
      <c r="E49" s="3" t="n">
        <v>355</v>
      </c>
      <c r="F49" s="3" t="n">
        <v>2916</v>
      </c>
      <c r="G49" s="3" t="n">
        <v>4927</v>
      </c>
      <c r="H49" s="4" t="n">
        <f aca="false">IF(OR(E49="",F49=""),"",E49/F49-1)</f>
        <v>-0.878257887517147</v>
      </c>
      <c r="I49" s="2" t="s">
        <v>16</v>
      </c>
      <c r="J49" s="2" t="s">
        <v>17</v>
      </c>
      <c r="K49" s="2" t="s">
        <v>18</v>
      </c>
      <c r="L49" s="5" t="n">
        <v>46254</v>
      </c>
      <c r="M49" s="2" t="s">
        <v>106</v>
      </c>
    </row>
    <row r="50" customFormat="false" ht="15" hidden="false" customHeight="false" outlineLevel="0" collapsed="false">
      <c r="A50" s="2" t="s">
        <v>113</v>
      </c>
      <c r="B50" s="2" t="s">
        <v>114</v>
      </c>
      <c r="C50" s="2" t="s">
        <v>26</v>
      </c>
      <c r="D50" s="2" t="n">
        <v>1</v>
      </c>
      <c r="E50" s="3" t="n">
        <v>19634</v>
      </c>
      <c r="F50" s="3" t="n">
        <v>7046</v>
      </c>
      <c r="G50" s="3" t="n">
        <v>13670</v>
      </c>
      <c r="H50" s="4" t="n">
        <f aca="false">IF(OR(E50="",F50=""),"",E50/F50-1)</f>
        <v>1.78654555776327</v>
      </c>
      <c r="I50" s="2" t="s">
        <v>16</v>
      </c>
      <c r="J50" s="2" t="s">
        <v>17</v>
      </c>
      <c r="K50" s="2" t="s">
        <v>18</v>
      </c>
      <c r="L50" s="5" t="n">
        <v>46254</v>
      </c>
      <c r="M50" s="2" t="s">
        <v>115</v>
      </c>
    </row>
    <row r="51" customFormat="false" ht="15" hidden="false" customHeight="false" outlineLevel="0" collapsed="false">
      <c r="A51" s="2" t="s">
        <v>113</v>
      </c>
      <c r="B51" s="2" t="s">
        <v>116</v>
      </c>
      <c r="C51" s="2" t="s">
        <v>26</v>
      </c>
      <c r="D51" s="2" t="n">
        <v>2</v>
      </c>
      <c r="E51" s="3" t="n">
        <v>16640</v>
      </c>
      <c r="F51" s="3" t="n">
        <v>17904</v>
      </c>
      <c r="G51" s="3" t="n">
        <v>38438</v>
      </c>
      <c r="H51" s="4" t="n">
        <f aca="false">IF(OR(E51="",F51=""),"",E51/F51-1)</f>
        <v>-0.0705987488829312</v>
      </c>
      <c r="I51" s="2" t="s">
        <v>16</v>
      </c>
      <c r="J51" s="2" t="s">
        <v>17</v>
      </c>
      <c r="K51" s="2" t="s">
        <v>18</v>
      </c>
      <c r="L51" s="5" t="n">
        <v>46254</v>
      </c>
      <c r="M51" s="2" t="s">
        <v>115</v>
      </c>
    </row>
    <row r="52" customFormat="false" ht="15" hidden="false" customHeight="false" outlineLevel="0" collapsed="false">
      <c r="A52" s="2" t="s">
        <v>113</v>
      </c>
      <c r="B52" s="2" t="s">
        <v>117</v>
      </c>
      <c r="C52" s="2" t="s">
        <v>26</v>
      </c>
      <c r="D52" s="2" t="n">
        <v>3</v>
      </c>
      <c r="E52" s="3" t="n">
        <v>8014</v>
      </c>
      <c r="F52" s="3" t="n">
        <v>8907</v>
      </c>
      <c r="G52" s="3" t="n">
        <v>17883</v>
      </c>
      <c r="H52" s="4" t="n">
        <f aca="false">IF(OR(E52="",F52=""),"",E52/F52-1)</f>
        <v>-0.100258223868867</v>
      </c>
      <c r="I52" s="2" t="s">
        <v>16</v>
      </c>
      <c r="J52" s="2" t="s">
        <v>17</v>
      </c>
      <c r="K52" s="2" t="s">
        <v>18</v>
      </c>
      <c r="L52" s="5" t="n">
        <v>46254</v>
      </c>
      <c r="M52" s="2" t="s">
        <v>115</v>
      </c>
    </row>
    <row r="53" customFormat="false" ht="15" hidden="false" customHeight="false" outlineLevel="0" collapsed="false">
      <c r="A53" s="2" t="s">
        <v>113</v>
      </c>
      <c r="B53" s="2" t="s">
        <v>118</v>
      </c>
      <c r="C53" s="2" t="s">
        <v>43</v>
      </c>
      <c r="D53" s="2" t="n">
        <v>4</v>
      </c>
      <c r="E53" s="3" t="n">
        <v>72</v>
      </c>
      <c r="F53" s="3" t="n">
        <v>1116</v>
      </c>
      <c r="G53" s="3" t="n">
        <v>1436</v>
      </c>
      <c r="H53" s="4" t="n">
        <f aca="false">IF(OR(E53="",F53=""),"",E53/F53-1)</f>
        <v>-0.935483870967742</v>
      </c>
      <c r="I53" s="2" t="s">
        <v>16</v>
      </c>
      <c r="J53" s="2" t="s">
        <v>17</v>
      </c>
      <c r="K53" s="2" t="s">
        <v>18</v>
      </c>
      <c r="L53" s="5" t="n">
        <v>46254</v>
      </c>
      <c r="M53" s="2" t="s">
        <v>119</v>
      </c>
    </row>
    <row r="54" customFormat="false" ht="15" hidden="false" customHeight="false" outlineLevel="0" collapsed="false">
      <c r="A54" s="2" t="s">
        <v>120</v>
      </c>
      <c r="B54" s="2" t="s">
        <v>121</v>
      </c>
      <c r="C54" s="2" t="s">
        <v>15</v>
      </c>
      <c r="D54" s="2" t="n">
        <v>1</v>
      </c>
      <c r="E54" s="3" t="n">
        <v>20370</v>
      </c>
      <c r="F54" s="3" t="n">
        <v>19074</v>
      </c>
      <c r="G54" s="3" t="n">
        <v>34047</v>
      </c>
      <c r="H54" s="4" t="n">
        <f aca="false">IF(OR(E54="",F54=""),"",E54/F54-1)</f>
        <v>0.0679458949355143</v>
      </c>
      <c r="I54" s="2" t="s">
        <v>16</v>
      </c>
      <c r="J54" s="2" t="s">
        <v>17</v>
      </c>
      <c r="K54" s="2" t="s">
        <v>18</v>
      </c>
      <c r="L54" s="5" t="n">
        <v>46254</v>
      </c>
      <c r="M54" s="2" t="s">
        <v>122</v>
      </c>
    </row>
    <row r="55" customFormat="false" ht="15" hidden="false" customHeight="false" outlineLevel="0" collapsed="false">
      <c r="A55" s="2" t="s">
        <v>120</v>
      </c>
      <c r="B55" s="2" t="s">
        <v>123</v>
      </c>
      <c r="C55" s="2" t="s">
        <v>26</v>
      </c>
      <c r="D55" s="2" t="n">
        <v>2</v>
      </c>
      <c r="E55" s="3" t="n">
        <v>5666</v>
      </c>
      <c r="F55" s="3" t="n">
        <v>3233</v>
      </c>
      <c r="G55" s="3" t="n">
        <v>8876</v>
      </c>
      <c r="H55" s="4" t="n">
        <f aca="false">IF(OR(E55="",F55=""),"",E55/F55-1)</f>
        <v>0.752551809464893</v>
      </c>
      <c r="I55" s="2" t="s">
        <v>16</v>
      </c>
      <c r="J55" s="2" t="s">
        <v>17</v>
      </c>
      <c r="K55" s="2" t="s">
        <v>18</v>
      </c>
      <c r="L55" s="5" t="n">
        <v>46254</v>
      </c>
      <c r="M55" s="2" t="s">
        <v>122</v>
      </c>
    </row>
    <row r="56" customFormat="false" ht="15" hidden="false" customHeight="false" outlineLevel="0" collapsed="false">
      <c r="A56" s="2" t="s">
        <v>120</v>
      </c>
      <c r="B56" s="2" t="s">
        <v>124</v>
      </c>
      <c r="C56" s="2" t="s">
        <v>15</v>
      </c>
      <c r="D56" s="2" t="n">
        <v>3</v>
      </c>
      <c r="E56" s="3" t="n">
        <v>2607</v>
      </c>
      <c r="F56" s="3" t="n">
        <v>1587</v>
      </c>
      <c r="G56" s="3" t="n">
        <v>4051</v>
      </c>
      <c r="H56" s="4" t="n">
        <f aca="false">IF(OR(E56="",F56=""),"",E56/F56-1)</f>
        <v>0.642722117202268</v>
      </c>
      <c r="I56" s="2" t="s">
        <v>16</v>
      </c>
      <c r="J56" s="2" t="s">
        <v>17</v>
      </c>
      <c r="K56" s="2" t="s">
        <v>18</v>
      </c>
      <c r="L56" s="5" t="n">
        <v>46254</v>
      </c>
      <c r="M56" s="2" t="s">
        <v>122</v>
      </c>
    </row>
    <row r="57" customFormat="false" ht="15" hidden="false" customHeight="false" outlineLevel="0" collapsed="false">
      <c r="A57" s="2" t="s">
        <v>120</v>
      </c>
      <c r="B57" s="2" t="s">
        <v>125</v>
      </c>
      <c r="C57" s="2" t="s">
        <v>58</v>
      </c>
      <c r="D57" s="2" t="n">
        <v>4</v>
      </c>
      <c r="E57" s="3" t="n">
        <v>1402</v>
      </c>
      <c r="F57" s="3" t="n">
        <v>1639</v>
      </c>
      <c r="G57" s="3" t="n">
        <v>2646</v>
      </c>
      <c r="H57" s="4" t="n">
        <f aca="false">IF(OR(E57="",F57=""),"",E57/F57-1)</f>
        <v>-0.144600366076876</v>
      </c>
      <c r="I57" s="2" t="s">
        <v>16</v>
      </c>
      <c r="J57" s="2" t="s">
        <v>17</v>
      </c>
      <c r="K57" s="2" t="s">
        <v>18</v>
      </c>
      <c r="L57" s="5" t="n">
        <v>46254</v>
      </c>
      <c r="M57" s="2" t="s">
        <v>126</v>
      </c>
    </row>
    <row r="58" customFormat="false" ht="15" hidden="false" customHeight="false" outlineLevel="0" collapsed="false">
      <c r="A58" s="2" t="s">
        <v>120</v>
      </c>
      <c r="B58" s="2" t="s">
        <v>127</v>
      </c>
      <c r="C58" s="2" t="s">
        <v>15</v>
      </c>
      <c r="D58" s="2" t="n">
        <v>5</v>
      </c>
      <c r="E58" s="3" t="n">
        <v>702</v>
      </c>
      <c r="F58" s="3" t="n">
        <v>678</v>
      </c>
      <c r="G58" s="3" t="n">
        <v>1200</v>
      </c>
      <c r="H58" s="4" t="n">
        <f aca="false">IF(OR(E58="",F58=""),"",E58/F58-1)</f>
        <v>0.0353982300884956</v>
      </c>
      <c r="I58" s="2" t="s">
        <v>16</v>
      </c>
      <c r="J58" s="2" t="s">
        <v>17</v>
      </c>
      <c r="K58" s="2" t="s">
        <v>18</v>
      </c>
      <c r="L58" s="5" t="n">
        <v>46254</v>
      </c>
      <c r="M58" s="2" t="s">
        <v>128</v>
      </c>
    </row>
    <row r="59" customFormat="false" ht="15" hidden="false" customHeight="false" outlineLevel="0" collapsed="false">
      <c r="A59" s="2" t="s">
        <v>129</v>
      </c>
      <c r="B59" s="2" t="s">
        <v>130</v>
      </c>
      <c r="C59" s="2" t="s">
        <v>26</v>
      </c>
      <c r="D59" s="2" t="n">
        <v>1</v>
      </c>
      <c r="E59" s="3" t="n">
        <v>25809</v>
      </c>
      <c r="F59" s="3" t="n">
        <v>16012</v>
      </c>
      <c r="G59" s="3" t="n">
        <v>31964</v>
      </c>
      <c r="H59" s="4" t="n">
        <f aca="false">IF(OR(E59="",F59=""),"",E59/F59-1)</f>
        <v>0.611853609792656</v>
      </c>
      <c r="I59" s="2" t="s">
        <v>16</v>
      </c>
      <c r="J59" s="2" t="s">
        <v>17</v>
      </c>
      <c r="K59" s="2" t="s">
        <v>18</v>
      </c>
      <c r="L59" s="5" t="n">
        <v>46254</v>
      </c>
      <c r="M59" s="2" t="s">
        <v>131</v>
      </c>
    </row>
    <row r="60" customFormat="false" ht="15" hidden="false" customHeight="false" outlineLevel="0" collapsed="false">
      <c r="A60" s="2" t="s">
        <v>129</v>
      </c>
      <c r="B60" s="2" t="s">
        <v>132</v>
      </c>
      <c r="C60" s="2" t="s">
        <v>26</v>
      </c>
      <c r="D60" s="2" t="n">
        <v>2</v>
      </c>
      <c r="E60" s="3" t="n">
        <v>7125</v>
      </c>
      <c r="F60" s="3"/>
      <c r="G60" s="3" t="n">
        <v>2205</v>
      </c>
      <c r="H60" s="4" t="str">
        <f aca="false">IF(OR(E60="",F60=""),"",E60/F60-1)</f>
        <v/>
      </c>
      <c r="I60" s="2" t="s">
        <v>16</v>
      </c>
      <c r="J60" s="2" t="s">
        <v>17</v>
      </c>
      <c r="K60" s="2" t="s">
        <v>18</v>
      </c>
      <c r="L60" s="5" t="n">
        <v>46254</v>
      </c>
      <c r="M60" s="2" t="s">
        <v>133</v>
      </c>
    </row>
    <row r="61" customFormat="false" ht="15" hidden="false" customHeight="false" outlineLevel="0" collapsed="false">
      <c r="A61" s="2" t="s">
        <v>129</v>
      </c>
      <c r="B61" s="2" t="s">
        <v>134</v>
      </c>
      <c r="C61" s="2" t="s">
        <v>15</v>
      </c>
      <c r="D61" s="2" t="n">
        <v>3</v>
      </c>
      <c r="E61" s="3" t="n">
        <v>3921</v>
      </c>
      <c r="F61" s="3"/>
      <c r="G61" s="3" t="n">
        <v>1280</v>
      </c>
      <c r="H61" s="4" t="str">
        <f aca="false">IF(OR(E61="",F61=""),"",E61/F61-1)</f>
        <v/>
      </c>
      <c r="I61" s="2" t="s">
        <v>16</v>
      </c>
      <c r="J61" s="2" t="s">
        <v>17</v>
      </c>
      <c r="K61" s="2" t="s">
        <v>18</v>
      </c>
      <c r="L61" s="5" t="n">
        <v>46254</v>
      </c>
      <c r="M61" s="2" t="s">
        <v>135</v>
      </c>
    </row>
    <row r="62" customFormat="false" ht="15" hidden="false" customHeight="false" outlineLevel="0" collapsed="false">
      <c r="A62" s="2" t="s">
        <v>129</v>
      </c>
      <c r="B62" s="2" t="s">
        <v>136</v>
      </c>
      <c r="C62" s="2" t="s">
        <v>26</v>
      </c>
      <c r="D62" s="2" t="n">
        <v>4</v>
      </c>
      <c r="E62" s="3" t="n">
        <v>3209</v>
      </c>
      <c r="F62" s="3" t="n">
        <v>1613</v>
      </c>
      <c r="G62" s="3" t="n">
        <v>3514</v>
      </c>
      <c r="H62" s="4" t="n">
        <f aca="false">IF(OR(E62="",F62=""),"",E62/F62-1)</f>
        <v>0.989460632362058</v>
      </c>
      <c r="I62" s="2" t="s">
        <v>16</v>
      </c>
      <c r="J62" s="2" t="s">
        <v>17</v>
      </c>
      <c r="K62" s="2" t="s">
        <v>18</v>
      </c>
      <c r="L62" s="5" t="n">
        <v>46254</v>
      </c>
      <c r="M62" s="2" t="s">
        <v>131</v>
      </c>
    </row>
    <row r="63" customFormat="false" ht="15" hidden="false" customHeight="false" outlineLevel="0" collapsed="false">
      <c r="A63" s="2" t="s">
        <v>129</v>
      </c>
      <c r="B63" s="2" t="s">
        <v>137</v>
      </c>
      <c r="C63" s="2" t="s">
        <v>21</v>
      </c>
      <c r="D63" s="2" t="n">
        <v>5</v>
      </c>
      <c r="E63" s="3" t="n">
        <v>2146</v>
      </c>
      <c r="F63" s="3" t="n">
        <v>1560</v>
      </c>
      <c r="G63" s="3" t="n">
        <v>3237</v>
      </c>
      <c r="H63" s="4" t="n">
        <f aca="false">IF(OR(E63="",F63=""),"",E63/F63-1)</f>
        <v>0.375641025641026</v>
      </c>
      <c r="I63" s="2" t="s">
        <v>16</v>
      </c>
      <c r="J63" s="2" t="s">
        <v>17</v>
      </c>
      <c r="K63" s="2" t="s">
        <v>18</v>
      </c>
      <c r="L63" s="5" t="n">
        <v>46254</v>
      </c>
      <c r="M63" s="2" t="s">
        <v>138</v>
      </c>
    </row>
    <row r="64" customFormat="false" ht="15" hidden="false" customHeight="false" outlineLevel="0" collapsed="false">
      <c r="A64" s="2" t="s">
        <v>139</v>
      </c>
      <c r="B64" s="2" t="s">
        <v>140</v>
      </c>
      <c r="C64" s="2" t="s">
        <v>15</v>
      </c>
      <c r="D64" s="2" t="n">
        <v>1</v>
      </c>
      <c r="E64" s="3" t="n">
        <v>14349</v>
      </c>
      <c r="F64" s="3" t="n">
        <v>13403</v>
      </c>
      <c r="G64" s="3" t="n">
        <v>26135</v>
      </c>
      <c r="H64" s="4" t="n">
        <f aca="false">IF(OR(E64="",F64=""),"",E64/F64-1)</f>
        <v>0.0705812131612327</v>
      </c>
      <c r="I64" s="2" t="s">
        <v>16</v>
      </c>
      <c r="J64" s="2" t="s">
        <v>17</v>
      </c>
      <c r="K64" s="2" t="s">
        <v>18</v>
      </c>
      <c r="L64" s="5" t="n">
        <v>46254</v>
      </c>
      <c r="M64" s="2" t="s">
        <v>141</v>
      </c>
    </row>
    <row r="65" customFormat="false" ht="15" hidden="false" customHeight="false" outlineLevel="0" collapsed="false">
      <c r="A65" s="2" t="s">
        <v>139</v>
      </c>
      <c r="B65" s="2" t="s">
        <v>142</v>
      </c>
      <c r="C65" s="2" t="s">
        <v>15</v>
      </c>
      <c r="D65" s="2" t="n">
        <v>2</v>
      </c>
      <c r="E65" s="3" t="n">
        <v>2566</v>
      </c>
      <c r="F65" s="3"/>
      <c r="G65" s="3"/>
      <c r="H65" s="4" t="str">
        <f aca="false">IF(OR(E65="",F65=""),"",E65/F65-1)</f>
        <v/>
      </c>
      <c r="I65" s="2" t="s">
        <v>16</v>
      </c>
      <c r="J65" s="2" t="s">
        <v>17</v>
      </c>
      <c r="K65" s="2" t="s">
        <v>18</v>
      </c>
      <c r="L65" s="5" t="n">
        <v>46254</v>
      </c>
      <c r="M65" s="2" t="s">
        <v>143</v>
      </c>
    </row>
    <row r="66" customFormat="false" ht="15" hidden="false" customHeight="false" outlineLevel="0" collapsed="false">
      <c r="A66" s="2" t="s">
        <v>139</v>
      </c>
      <c r="B66" s="2" t="s">
        <v>144</v>
      </c>
      <c r="C66" s="2" t="s">
        <v>15</v>
      </c>
      <c r="D66" s="2" t="n">
        <v>3</v>
      </c>
      <c r="E66" s="3" t="n">
        <v>607</v>
      </c>
      <c r="F66" s="3" t="n">
        <v>1000</v>
      </c>
      <c r="G66" s="3" t="n">
        <v>1406</v>
      </c>
      <c r="H66" s="4" t="n">
        <f aca="false">IF(OR(E66="",F66=""),"",E66/F66-1)</f>
        <v>-0.393</v>
      </c>
      <c r="I66" s="2" t="s">
        <v>16</v>
      </c>
      <c r="J66" s="2" t="s">
        <v>17</v>
      </c>
      <c r="K66" s="2" t="s">
        <v>18</v>
      </c>
      <c r="L66" s="5" t="n">
        <v>46254</v>
      </c>
      <c r="M66" s="2" t="s">
        <v>145</v>
      </c>
    </row>
    <row r="67" customFormat="false" ht="15" hidden="false" customHeight="false" outlineLevel="0" collapsed="false">
      <c r="A67" s="2" t="s">
        <v>139</v>
      </c>
      <c r="B67" s="2" t="s">
        <v>146</v>
      </c>
      <c r="C67" s="2" t="s">
        <v>15</v>
      </c>
      <c r="D67" s="2" t="n">
        <v>4</v>
      </c>
      <c r="E67" s="3" t="n">
        <v>462</v>
      </c>
      <c r="F67" s="3" t="n">
        <v>492</v>
      </c>
      <c r="G67" s="3" t="n">
        <v>703</v>
      </c>
      <c r="H67" s="4" t="n">
        <f aca="false">IF(OR(E67="",F67=""),"",E67/F67-1)</f>
        <v>-0.0609756097560976</v>
      </c>
      <c r="I67" s="2" t="s">
        <v>16</v>
      </c>
      <c r="J67" s="2" t="s">
        <v>17</v>
      </c>
      <c r="K67" s="2" t="s">
        <v>18</v>
      </c>
      <c r="L67" s="5" t="n">
        <v>46254</v>
      </c>
      <c r="M67" s="2" t="s">
        <v>145</v>
      </c>
    </row>
    <row r="68" customFormat="false" ht="15" hidden="false" customHeight="false" outlineLevel="0" collapsed="false">
      <c r="A68" s="2" t="s">
        <v>139</v>
      </c>
      <c r="B68" s="2" t="s">
        <v>147</v>
      </c>
      <c r="C68" s="2" t="s">
        <v>15</v>
      </c>
      <c r="D68" s="2" t="n">
        <v>5</v>
      </c>
      <c r="E68" s="3" t="n">
        <v>135</v>
      </c>
      <c r="F68" s="3" t="n">
        <v>951</v>
      </c>
      <c r="G68" s="3" t="n">
        <v>1181</v>
      </c>
      <c r="H68" s="4" t="n">
        <f aca="false">IF(OR(E68="",F68=""),"",E68/F68-1)</f>
        <v>-0.858044164037855</v>
      </c>
      <c r="I68" s="2" t="s">
        <v>16</v>
      </c>
      <c r="J68" s="2" t="s">
        <v>17</v>
      </c>
      <c r="K68" s="2" t="s">
        <v>18</v>
      </c>
      <c r="L68" s="5" t="n">
        <v>46254</v>
      </c>
      <c r="M68" s="2" t="s">
        <v>145</v>
      </c>
    </row>
    <row r="69" customFormat="false" ht="15" hidden="false" customHeight="false" outlineLevel="0" collapsed="false">
      <c r="A69" s="2" t="s">
        <v>148</v>
      </c>
      <c r="B69" s="2" t="s">
        <v>149</v>
      </c>
      <c r="C69" s="2" t="s">
        <v>15</v>
      </c>
      <c r="D69" s="2" t="n">
        <v>1</v>
      </c>
      <c r="E69" s="3" t="n">
        <v>7243</v>
      </c>
      <c r="F69" s="3" t="n">
        <v>4851</v>
      </c>
      <c r="G69" s="3" t="n">
        <v>11719</v>
      </c>
      <c r="H69" s="4" t="n">
        <f aca="false">IF(OR(E69="",F69=""),"",E69/F69-1)</f>
        <v>0.493094207379922</v>
      </c>
      <c r="I69" s="2" t="s">
        <v>16</v>
      </c>
      <c r="J69" s="2" t="s">
        <v>17</v>
      </c>
      <c r="K69" s="2" t="s">
        <v>18</v>
      </c>
      <c r="L69" s="5" t="n">
        <v>46254</v>
      </c>
      <c r="M69" s="2" t="s">
        <v>150</v>
      </c>
    </row>
    <row r="70" customFormat="false" ht="15" hidden="false" customHeight="false" outlineLevel="0" collapsed="false">
      <c r="A70" s="2" t="s">
        <v>148</v>
      </c>
      <c r="B70" s="2" t="s">
        <v>151</v>
      </c>
      <c r="C70" s="2" t="s">
        <v>26</v>
      </c>
      <c r="D70" s="2" t="n">
        <v>2</v>
      </c>
      <c r="E70" s="3" t="n">
        <v>4382</v>
      </c>
      <c r="F70" s="3" t="n">
        <v>5369</v>
      </c>
      <c r="G70" s="3" t="n">
        <v>10032</v>
      </c>
      <c r="H70" s="4" t="n">
        <f aca="false">IF(OR(E70="",F70=""),"",E70/F70-1)</f>
        <v>-0.183833116036506</v>
      </c>
      <c r="I70" s="2" t="s">
        <v>16</v>
      </c>
      <c r="J70" s="2" t="s">
        <v>17</v>
      </c>
      <c r="K70" s="2" t="s">
        <v>18</v>
      </c>
      <c r="L70" s="5" t="n">
        <v>46254</v>
      </c>
      <c r="M70" s="2" t="s">
        <v>150</v>
      </c>
    </row>
    <row r="71" customFormat="false" ht="15" hidden="false" customHeight="false" outlineLevel="0" collapsed="false">
      <c r="A71" s="2" t="s">
        <v>148</v>
      </c>
      <c r="B71" s="2" t="s">
        <v>152</v>
      </c>
      <c r="C71" s="2" t="s">
        <v>15</v>
      </c>
      <c r="D71" s="2" t="n">
        <v>3</v>
      </c>
      <c r="E71" s="3" t="n">
        <v>86</v>
      </c>
      <c r="F71" s="3" t="n">
        <v>4250</v>
      </c>
      <c r="G71" s="3" t="n">
        <v>3561</v>
      </c>
      <c r="H71" s="4" t="n">
        <f aca="false">IF(OR(E71="",F71=""),"",E71/F71-1)</f>
        <v>-0.979764705882353</v>
      </c>
      <c r="I71" s="2" t="s">
        <v>16</v>
      </c>
      <c r="J71" s="2" t="s">
        <v>17</v>
      </c>
      <c r="K71" s="2" t="s">
        <v>18</v>
      </c>
      <c r="L71" s="5" t="n">
        <v>46254</v>
      </c>
      <c r="M71" s="2" t="s">
        <v>153</v>
      </c>
    </row>
    <row r="72" customFormat="false" ht="15" hidden="false" customHeight="false" outlineLevel="0" collapsed="false">
      <c r="A72" s="2" t="s">
        <v>154</v>
      </c>
      <c r="B72" s="2" t="s">
        <v>155</v>
      </c>
      <c r="C72" s="2" t="s">
        <v>26</v>
      </c>
      <c r="D72" s="2" t="n">
        <v>1</v>
      </c>
      <c r="E72" s="3" t="n">
        <v>4712</v>
      </c>
      <c r="F72" s="3" t="n">
        <v>7564</v>
      </c>
      <c r="G72" s="3" t="n">
        <v>11312</v>
      </c>
      <c r="H72" s="4" t="n">
        <f aca="false">IF(OR(E72="",F72=""),"",E72/F72-1)</f>
        <v>-0.377049180327869</v>
      </c>
      <c r="I72" s="2" t="s">
        <v>16</v>
      </c>
      <c r="J72" s="2" t="s">
        <v>17</v>
      </c>
      <c r="K72" s="2" t="s">
        <v>18</v>
      </c>
      <c r="L72" s="5" t="n">
        <v>46254</v>
      </c>
      <c r="M72" s="2" t="s">
        <v>156</v>
      </c>
    </row>
    <row r="73" customFormat="false" ht="15" hidden="false" customHeight="false" outlineLevel="0" collapsed="false">
      <c r="A73" s="2" t="s">
        <v>154</v>
      </c>
      <c r="B73" s="2" t="s">
        <v>157</v>
      </c>
      <c r="C73" s="2" t="s">
        <v>21</v>
      </c>
      <c r="D73" s="2" t="n">
        <v>2</v>
      </c>
      <c r="E73" s="3" t="n">
        <v>3299</v>
      </c>
      <c r="F73" s="3" t="n">
        <v>5067</v>
      </c>
      <c r="G73" s="3" t="n">
        <v>9809</v>
      </c>
      <c r="H73" s="4" t="n">
        <f aca="false">IF(OR(E73="",F73=""),"",E73/F73-1)</f>
        <v>-0.348924412867575</v>
      </c>
      <c r="I73" s="2" t="s">
        <v>16</v>
      </c>
      <c r="J73" s="2" t="s">
        <v>17</v>
      </c>
      <c r="K73" s="2" t="s">
        <v>18</v>
      </c>
      <c r="L73" s="5" t="n">
        <v>46254</v>
      </c>
      <c r="M73" s="2" t="s">
        <v>156</v>
      </c>
    </row>
    <row r="74" customFormat="false" ht="15" hidden="false" customHeight="false" outlineLevel="0" collapsed="false">
      <c r="A74" s="2" t="s">
        <v>154</v>
      </c>
      <c r="B74" s="2" t="s">
        <v>158</v>
      </c>
      <c r="C74" s="2" t="s">
        <v>58</v>
      </c>
      <c r="D74" s="2" t="n">
        <v>3</v>
      </c>
      <c r="E74" s="3" t="n">
        <v>1354</v>
      </c>
      <c r="F74" s="3" t="n">
        <v>463</v>
      </c>
      <c r="G74" s="3" t="n">
        <v>1157</v>
      </c>
      <c r="H74" s="4" t="n">
        <f aca="false">IF(OR(E74="",F74=""),"",E74/F74-1)</f>
        <v>1.9244060475162</v>
      </c>
      <c r="I74" s="2" t="s">
        <v>16</v>
      </c>
      <c r="J74" s="2" t="s">
        <v>17</v>
      </c>
      <c r="K74" s="2" t="s">
        <v>18</v>
      </c>
      <c r="L74" s="5" t="n">
        <v>46254</v>
      </c>
      <c r="M74" s="2" t="s">
        <v>156</v>
      </c>
    </row>
    <row r="75" customFormat="false" ht="15" hidden="false" customHeight="false" outlineLevel="0" collapsed="false">
      <c r="A75" s="2" t="s">
        <v>154</v>
      </c>
      <c r="B75" s="2" t="s">
        <v>159</v>
      </c>
      <c r="C75" s="2" t="s">
        <v>58</v>
      </c>
      <c r="D75" s="2" t="n">
        <v>4</v>
      </c>
      <c r="E75" s="3" t="n">
        <v>313</v>
      </c>
      <c r="F75" s="3" t="n">
        <v>168</v>
      </c>
      <c r="G75" s="3" t="n">
        <v>307</v>
      </c>
      <c r="H75" s="4" t="n">
        <f aca="false">IF(OR(E75="",F75=""),"",E75/F75-1)</f>
        <v>0.863095238095238</v>
      </c>
      <c r="I75" s="2" t="s">
        <v>16</v>
      </c>
      <c r="J75" s="2" t="s">
        <v>17</v>
      </c>
      <c r="K75" s="2" t="s">
        <v>18</v>
      </c>
      <c r="L75" s="5" t="n">
        <v>46254</v>
      </c>
      <c r="M75" s="2" t="s">
        <v>156</v>
      </c>
    </row>
    <row r="76" customFormat="false" ht="15" hidden="false" customHeight="false" outlineLevel="0" collapsed="false">
      <c r="A76" s="2" t="s">
        <v>154</v>
      </c>
      <c r="B76" s="2" t="s">
        <v>160</v>
      </c>
      <c r="C76" s="2" t="s">
        <v>58</v>
      </c>
      <c r="D76" s="2" t="n">
        <v>5</v>
      </c>
      <c r="E76" s="3" t="n">
        <v>296</v>
      </c>
      <c r="F76" s="3" t="n">
        <v>300</v>
      </c>
      <c r="G76" s="3" t="n">
        <v>526</v>
      </c>
      <c r="H76" s="4" t="n">
        <f aca="false">IF(OR(E76="",F76=""),"",E76/F76-1)</f>
        <v>-0.0133333333333333</v>
      </c>
      <c r="I76" s="2" t="s">
        <v>16</v>
      </c>
      <c r="J76" s="2" t="s">
        <v>17</v>
      </c>
      <c r="K76" s="2" t="s">
        <v>18</v>
      </c>
      <c r="L76" s="5" t="n">
        <v>46254</v>
      </c>
      <c r="M76" s="2" t="s">
        <v>156</v>
      </c>
    </row>
    <row r="77" customFormat="false" ht="15" hidden="false" customHeight="false" outlineLevel="0" collapsed="false">
      <c r="A77" s="2" t="s">
        <v>161</v>
      </c>
      <c r="B77" s="2" t="s">
        <v>162</v>
      </c>
      <c r="C77" s="2" t="s">
        <v>58</v>
      </c>
      <c r="D77" s="2" t="n">
        <v>1</v>
      </c>
      <c r="E77" s="3" t="n">
        <v>1522</v>
      </c>
      <c r="F77" s="3" t="n">
        <v>1579</v>
      </c>
      <c r="G77" s="3" t="n">
        <v>2828</v>
      </c>
      <c r="H77" s="4" t="n">
        <f aca="false">IF(OR(E77="",F77=""),"",E77/F77-1)</f>
        <v>-0.0360987967067764</v>
      </c>
      <c r="I77" s="2" t="s">
        <v>16</v>
      </c>
      <c r="J77" s="2" t="s">
        <v>17</v>
      </c>
      <c r="K77" s="2" t="s">
        <v>18</v>
      </c>
      <c r="L77" s="5" t="n">
        <v>46254</v>
      </c>
      <c r="M77" s="2" t="s">
        <v>163</v>
      </c>
    </row>
    <row r="78" customFormat="false" ht="15" hidden="false" customHeight="false" outlineLevel="0" collapsed="false">
      <c r="A78" s="2" t="s">
        <v>161</v>
      </c>
      <c r="B78" s="2" t="s">
        <v>164</v>
      </c>
      <c r="C78" s="2" t="s">
        <v>58</v>
      </c>
      <c r="D78" s="2" t="n">
        <v>2</v>
      </c>
      <c r="E78" s="3" t="n">
        <v>1491</v>
      </c>
      <c r="F78" s="3" t="n">
        <v>1048</v>
      </c>
      <c r="G78" s="3" t="n">
        <v>2129</v>
      </c>
      <c r="H78" s="4" t="n">
        <f aca="false">IF(OR(E78="",F78=""),"",E78/F78-1)</f>
        <v>0.422709923664122</v>
      </c>
      <c r="I78" s="2" t="s">
        <v>16</v>
      </c>
      <c r="J78" s="2" t="s">
        <v>17</v>
      </c>
      <c r="K78" s="2" t="s">
        <v>18</v>
      </c>
      <c r="L78" s="5" t="n">
        <v>46254</v>
      </c>
      <c r="M78" s="2" t="s">
        <v>165</v>
      </c>
    </row>
    <row r="79" customFormat="false" ht="15" hidden="false" customHeight="false" outlineLevel="0" collapsed="false">
      <c r="A79" s="2" t="s">
        <v>161</v>
      </c>
      <c r="B79" s="2" t="s">
        <v>166</v>
      </c>
      <c r="C79" s="2" t="s">
        <v>58</v>
      </c>
      <c r="D79" s="2" t="n">
        <v>3</v>
      </c>
      <c r="E79" s="3" t="n">
        <v>92</v>
      </c>
      <c r="F79" s="3" t="n">
        <v>114</v>
      </c>
      <c r="G79" s="3" t="n">
        <v>180</v>
      </c>
      <c r="H79" s="4" t="n">
        <f aca="false">IF(OR(E79="",F79=""),"",E79/F79-1)</f>
        <v>-0.192982456140351</v>
      </c>
      <c r="I79" s="2" t="s">
        <v>16</v>
      </c>
      <c r="J79" s="2" t="s">
        <v>17</v>
      </c>
      <c r="K79" s="2" t="s">
        <v>18</v>
      </c>
      <c r="L79" s="5" t="n">
        <v>46254</v>
      </c>
      <c r="M79" s="2" t="s">
        <v>165</v>
      </c>
    </row>
    <row r="80" customFormat="false" ht="15" hidden="false" customHeight="false" outlineLevel="0" collapsed="false">
      <c r="A80" s="2" t="s">
        <v>167</v>
      </c>
      <c r="B80" s="2" t="s">
        <v>168</v>
      </c>
      <c r="C80" s="2" t="s">
        <v>26</v>
      </c>
      <c r="D80" s="2" t="n">
        <v>1</v>
      </c>
      <c r="E80" s="3" t="n">
        <v>11738</v>
      </c>
      <c r="F80" s="3"/>
      <c r="G80" s="3"/>
      <c r="H80" s="4" t="str">
        <f aca="false">IF(OR(E80="",F80=""),"",E80/F80-1)</f>
        <v/>
      </c>
      <c r="I80" s="2" t="s">
        <v>16</v>
      </c>
      <c r="J80" s="2" t="s">
        <v>17</v>
      </c>
      <c r="K80" s="2" t="s">
        <v>18</v>
      </c>
      <c r="L80" s="5" t="n">
        <v>46254</v>
      </c>
      <c r="M80" s="2" t="s">
        <v>169</v>
      </c>
    </row>
    <row r="81" customFormat="false" ht="15" hidden="false" customHeight="false" outlineLevel="0" collapsed="false">
      <c r="A81" s="2" t="s">
        <v>167</v>
      </c>
      <c r="B81" s="2" t="s">
        <v>170</v>
      </c>
      <c r="C81" s="2" t="s">
        <v>26</v>
      </c>
      <c r="D81" s="2" t="n">
        <v>2</v>
      </c>
      <c r="E81" s="3" t="n">
        <v>9483</v>
      </c>
      <c r="F81" s="3" t="n">
        <v>1312</v>
      </c>
      <c r="G81" s="3" t="n">
        <v>4919</v>
      </c>
      <c r="H81" s="4" t="n">
        <f aca="false">IF(OR(E81="",F81=""),"",E81/F81-1)</f>
        <v>6.22789634146341</v>
      </c>
      <c r="I81" s="2" t="s">
        <v>16</v>
      </c>
      <c r="J81" s="2" t="s">
        <v>17</v>
      </c>
      <c r="K81" s="2" t="s">
        <v>18</v>
      </c>
      <c r="L81" s="5" t="n">
        <v>46254</v>
      </c>
      <c r="M81" s="2" t="s">
        <v>171</v>
      </c>
    </row>
  </sheetData>
  <autoFilter ref="A1:M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2"/>
    <col collapsed="false" customWidth="true" hidden="false" outlineLevel="0" max="3" min="3" style="0" width="34"/>
    <col collapsed="false" customWidth="true" hidden="false" outlineLevel="0" max="4" min="4" style="0" width="52"/>
    <col collapsed="false" customWidth="true" hidden="false" outlineLevel="0" max="5" min="5" style="0" width="14"/>
    <col collapsed="false" customWidth="true" hidden="false" outlineLevel="0" max="6" min="6" style="0" width="95"/>
  </cols>
  <sheetData>
    <row r="1" customFormat="false" ht="15" hidden="false" customHeight="false" outlineLevel="0" collapsed="false">
      <c r="A1" s="6" t="s">
        <v>172</v>
      </c>
      <c r="B1" s="6" t="s">
        <v>10</v>
      </c>
      <c r="C1" s="6" t="s">
        <v>173</v>
      </c>
      <c r="D1" s="6" t="s">
        <v>174</v>
      </c>
      <c r="E1" s="6" t="s">
        <v>11</v>
      </c>
      <c r="F1" s="6" t="s">
        <v>175</v>
      </c>
    </row>
    <row r="2" customFormat="false" ht="15" hidden="false" customHeight="false" outlineLevel="0" collapsed="false">
      <c r="A2" s="2" t="s">
        <v>176</v>
      </c>
      <c r="B2" s="2" t="s">
        <v>18</v>
      </c>
      <c r="C2" s="2" t="s">
        <v>177</v>
      </c>
      <c r="D2" s="5" t="n">
        <v>46237</v>
      </c>
      <c r="E2" s="5" t="n">
        <v>46254</v>
      </c>
      <c r="F2" s="2" t="s">
        <v>178</v>
      </c>
    </row>
    <row r="3" customFormat="false" ht="15" hidden="false" customHeight="false" outlineLevel="0" collapsed="false">
      <c r="A3" s="2" t="s">
        <v>179</v>
      </c>
      <c r="B3" s="2" t="s">
        <v>180</v>
      </c>
      <c r="C3" s="2" t="s">
        <v>181</v>
      </c>
      <c r="D3" s="5" t="n">
        <v>45870</v>
      </c>
      <c r="E3" s="5" t="n">
        <v>46254</v>
      </c>
      <c r="F3" s="2" t="s">
        <v>182</v>
      </c>
    </row>
    <row r="4" customFormat="false" ht="15" hidden="false" customHeight="false" outlineLevel="0" collapsed="false">
      <c r="A4" s="2" t="s">
        <v>183</v>
      </c>
      <c r="B4" s="2" t="s">
        <v>184</v>
      </c>
      <c r="C4" s="2" t="s">
        <v>185</v>
      </c>
      <c r="D4" s="5" t="n">
        <v>46027</v>
      </c>
      <c r="E4" s="5" t="n">
        <v>46254</v>
      </c>
      <c r="F4" s="2" t="s">
        <v>186</v>
      </c>
    </row>
    <row r="5" customFormat="false" ht="15" hidden="false" customHeight="false" outlineLevel="0" collapsed="false">
      <c r="A5" s="2" t="s">
        <v>187</v>
      </c>
      <c r="B5" s="2" t="s">
        <v>188</v>
      </c>
      <c r="C5" s="2" t="s">
        <v>189</v>
      </c>
      <c r="D5" s="5" t="n">
        <v>46136</v>
      </c>
      <c r="E5" s="5" t="n">
        <v>46254</v>
      </c>
      <c r="F5" s="2" t="s">
        <v>190</v>
      </c>
    </row>
    <row r="6" customFormat="false" ht="15" hidden="false" customHeight="false" outlineLevel="0" collapsed="false">
      <c r="A6" s="2" t="s">
        <v>191</v>
      </c>
      <c r="B6" s="2" t="s">
        <v>192</v>
      </c>
      <c r="C6" s="2" t="s">
        <v>193</v>
      </c>
      <c r="D6" s="5"/>
      <c r="E6" s="5" t="n">
        <v>46254</v>
      </c>
      <c r="F6" s="2" t="s">
        <v>194</v>
      </c>
    </row>
    <row r="7" customFormat="false" ht="15" hidden="false" customHeight="false" outlineLevel="0" collapsed="false">
      <c r="A7" s="2" t="s">
        <v>195</v>
      </c>
      <c r="B7" s="2" t="s">
        <v>196</v>
      </c>
      <c r="C7" s="2" t="s">
        <v>197</v>
      </c>
      <c r="D7" s="5"/>
      <c r="E7" s="5" t="n">
        <v>46254</v>
      </c>
      <c r="F7" s="2" t="s">
        <v>198</v>
      </c>
    </row>
    <row r="8" customFormat="false" ht="15" hidden="false" customHeight="false" outlineLevel="0" collapsed="false">
      <c r="A8" s="2" t="s">
        <v>199</v>
      </c>
      <c r="B8" s="2" t="s">
        <v>200</v>
      </c>
      <c r="C8" s="2" t="s">
        <v>201</v>
      </c>
      <c r="D8" s="5"/>
      <c r="E8" s="5" t="n">
        <v>46254</v>
      </c>
      <c r="F8" s="2" t="s">
        <v>202</v>
      </c>
    </row>
    <row r="9" customFormat="false" ht="15" hidden="false" customHeight="false" outlineLevel="0" collapsed="false">
      <c r="A9" s="2" t="s">
        <v>203</v>
      </c>
      <c r="B9" s="2" t="s">
        <v>204</v>
      </c>
      <c r="C9" s="2" t="s">
        <v>201</v>
      </c>
      <c r="D9" s="5" t="n">
        <v>46027</v>
      </c>
      <c r="E9" s="5" t="n">
        <v>46254</v>
      </c>
      <c r="F9" s="2" t="s">
        <v>205</v>
      </c>
    </row>
    <row r="10" customFormat="false" ht="15" hidden="false" customHeight="false" outlineLevel="0" collapsed="false">
      <c r="A10" s="2"/>
      <c r="B10" s="2"/>
      <c r="C10" s="2"/>
      <c r="D10" s="2"/>
      <c r="E10" s="2"/>
      <c r="F10" s="2"/>
    </row>
    <row r="11" customFormat="false" ht="15" hidden="false" customHeight="false" outlineLevel="0" collapsed="false">
      <c r="A11" s="7" t="s">
        <v>206</v>
      </c>
      <c r="B11" s="2"/>
      <c r="C11" s="2"/>
      <c r="D11" s="2"/>
      <c r="E11" s="2"/>
      <c r="F11" s="2"/>
    </row>
    <row r="12" customFormat="false" ht="15" hidden="false" customHeight="false" outlineLevel="0" collapsed="false">
      <c r="A12" s="7" t="s">
        <v>0</v>
      </c>
      <c r="B12" s="7" t="s">
        <v>6</v>
      </c>
      <c r="C12" s="7" t="s">
        <v>207</v>
      </c>
      <c r="D12" s="7" t="s">
        <v>10</v>
      </c>
      <c r="E12" s="2"/>
      <c r="F12" s="7" t="s">
        <v>12</v>
      </c>
    </row>
    <row r="13" customFormat="false" ht="15" hidden="false" customHeight="false" outlineLevel="0" collapsed="false">
      <c r="A13" s="2" t="s">
        <v>208</v>
      </c>
      <c r="B13" s="3" t="n">
        <v>5247</v>
      </c>
      <c r="C13" s="2" t="s">
        <v>209</v>
      </c>
      <c r="D13" s="2" t="s">
        <v>200</v>
      </c>
      <c r="E13" s="2"/>
      <c r="F13" s="2" t="s">
        <v>210</v>
      </c>
    </row>
    <row r="14" customFormat="false" ht="15" hidden="false" customHeight="false" outlineLevel="0" collapsed="false">
      <c r="A14" s="2" t="s">
        <v>211</v>
      </c>
      <c r="B14" s="3" t="n">
        <v>3072</v>
      </c>
      <c r="C14" s="2" t="s">
        <v>212</v>
      </c>
      <c r="D14" s="2" t="s">
        <v>184</v>
      </c>
      <c r="E14" s="2"/>
      <c r="F14" s="2" t="s">
        <v>213</v>
      </c>
    </row>
    <row r="15" customFormat="false" ht="15" hidden="false" customHeight="false" outlineLevel="0" collapsed="false">
      <c r="A15" s="2" t="s">
        <v>214</v>
      </c>
      <c r="B15" s="3" t="n">
        <v>3370</v>
      </c>
      <c r="C15" s="2" t="s">
        <v>215</v>
      </c>
      <c r="D15" s="2" t="s">
        <v>188</v>
      </c>
      <c r="E15" s="2"/>
      <c r="F15" s="2" t="s">
        <v>216</v>
      </c>
    </row>
    <row r="16" customFormat="false" ht="15" hidden="false" customHeight="false" outlineLevel="0" collapsed="false">
      <c r="A16" s="2" t="s">
        <v>217</v>
      </c>
      <c r="B16" s="3" t="n">
        <v>3636</v>
      </c>
      <c r="C16" s="2" t="s">
        <v>209</v>
      </c>
      <c r="D16" s="2" t="s">
        <v>200</v>
      </c>
      <c r="E16" s="2"/>
      <c r="F16" s="2" t="s">
        <v>218</v>
      </c>
    </row>
    <row r="17" customFormat="false" ht="15" hidden="false" customHeight="false" outlineLevel="0" collapsed="false">
      <c r="A17" s="2" t="s">
        <v>219</v>
      </c>
      <c r="B17" s="3" t="n">
        <v>3012</v>
      </c>
      <c r="C17" s="2" t="s">
        <v>209</v>
      </c>
      <c r="D17" s="2" t="s">
        <v>200</v>
      </c>
      <c r="E17" s="2"/>
      <c r="F17" s="2" t="s">
        <v>220</v>
      </c>
    </row>
    <row r="18" customFormat="false" ht="15" hidden="false" customHeight="false" outlineLevel="0" collapsed="false">
      <c r="A18" s="2" t="s">
        <v>221</v>
      </c>
      <c r="B18" s="3" t="n">
        <v>2768</v>
      </c>
      <c r="C18" s="2" t="s">
        <v>222</v>
      </c>
      <c r="D18" s="2" t="s">
        <v>184</v>
      </c>
      <c r="E18" s="2"/>
      <c r="F18" s="2" t="s">
        <v>220</v>
      </c>
    </row>
    <row r="19" customFormat="false" ht="15" hidden="false" customHeight="false" outlineLevel="0" collapsed="false">
      <c r="A19" s="2" t="s">
        <v>223</v>
      </c>
      <c r="B19" s="3" t="n">
        <v>2390</v>
      </c>
      <c r="C19" s="2" t="s">
        <v>222</v>
      </c>
      <c r="D19" s="2" t="s">
        <v>184</v>
      </c>
      <c r="E19" s="2"/>
      <c r="F19" s="2" t="s">
        <v>224</v>
      </c>
    </row>
    <row r="20" customFormat="false" ht="15" hidden="false" customHeight="false" outlineLevel="0" collapsed="false">
      <c r="A20" s="2" t="s">
        <v>225</v>
      </c>
      <c r="B20" s="3" t="n">
        <v>1588</v>
      </c>
      <c r="C20" s="2" t="s">
        <v>209</v>
      </c>
      <c r="D20" s="2" t="s">
        <v>200</v>
      </c>
      <c r="E20" s="2"/>
      <c r="F20" s="2" t="s">
        <v>220</v>
      </c>
    </row>
    <row r="21" customFormat="false" ht="15" hidden="false" customHeight="false" outlineLevel="0" collapsed="false">
      <c r="A21" s="2" t="s">
        <v>226</v>
      </c>
      <c r="B21" s="3" t="n">
        <v>1404</v>
      </c>
      <c r="C21" s="2" t="s">
        <v>209</v>
      </c>
      <c r="D21" s="2" t="s">
        <v>200</v>
      </c>
      <c r="E21" s="2"/>
      <c r="F21" s="2" t="s">
        <v>220</v>
      </c>
    </row>
    <row r="22" customFormat="false" ht="15" hidden="false" customHeight="false" outlineLevel="0" collapsed="false">
      <c r="A22" s="2" t="s">
        <v>227</v>
      </c>
      <c r="B22" s="3" t="n">
        <v>1299</v>
      </c>
      <c r="C22" s="2" t="s">
        <v>209</v>
      </c>
      <c r="D22" s="2" t="s">
        <v>200</v>
      </c>
      <c r="E22" s="2"/>
      <c r="F22" s="2" t="s">
        <v>220</v>
      </c>
    </row>
    <row r="23" customFormat="false" ht="15" hidden="false" customHeight="false" outlineLevel="0" collapsed="false">
      <c r="A23" s="2" t="s">
        <v>228</v>
      </c>
      <c r="B23" s="3" t="n">
        <v>1001</v>
      </c>
      <c r="C23" s="2" t="s">
        <v>222</v>
      </c>
      <c r="D23" s="2" t="s">
        <v>184</v>
      </c>
      <c r="E23" s="2"/>
      <c r="F23" s="2" t="s">
        <v>220</v>
      </c>
    </row>
    <row r="24" customFormat="false" ht="15" hidden="false" customHeight="false" outlineLevel="0" collapsed="false">
      <c r="A24" s="2" t="s">
        <v>229</v>
      </c>
      <c r="B24" s="3" t="n">
        <v>988</v>
      </c>
      <c r="C24" s="2" t="s">
        <v>209</v>
      </c>
      <c r="D24" s="2" t="s">
        <v>200</v>
      </c>
      <c r="E24" s="2"/>
      <c r="F24" s="2" t="s">
        <v>220</v>
      </c>
    </row>
    <row r="25" customFormat="false" ht="15" hidden="false" customHeight="false" outlineLevel="0" collapsed="false">
      <c r="A25" s="2" t="s">
        <v>230</v>
      </c>
      <c r="B25" s="3" t="n">
        <v>574</v>
      </c>
      <c r="C25" s="2" t="s">
        <v>209</v>
      </c>
      <c r="D25" s="2" t="s">
        <v>200</v>
      </c>
      <c r="E25" s="2"/>
      <c r="F25" s="2" t="s">
        <v>231</v>
      </c>
    </row>
    <row r="26" customFormat="false" ht="15" hidden="false" customHeight="false" outlineLevel="0" collapsed="false">
      <c r="A26" s="2" t="s">
        <v>232</v>
      </c>
      <c r="B26" s="3" t="n">
        <v>571</v>
      </c>
      <c r="C26" s="2" t="s">
        <v>209</v>
      </c>
      <c r="D26" s="2" t="s">
        <v>200</v>
      </c>
      <c r="E26" s="2"/>
      <c r="F26" s="2" t="s">
        <v>220</v>
      </c>
    </row>
    <row r="27" customFormat="false" ht="15" hidden="false" customHeight="false" outlineLevel="0" collapsed="false">
      <c r="A27" s="2" t="s">
        <v>233</v>
      </c>
      <c r="B27" s="3" t="n">
        <v>528</v>
      </c>
      <c r="C27" s="2" t="s">
        <v>222</v>
      </c>
      <c r="D27" s="2" t="s">
        <v>184</v>
      </c>
      <c r="E27" s="2"/>
      <c r="F27" s="2" t="s">
        <v>220</v>
      </c>
    </row>
    <row r="28" customFormat="false" ht="15" hidden="false" customHeight="false" outlineLevel="0" collapsed="false">
      <c r="A28" s="2" t="s">
        <v>234</v>
      </c>
      <c r="B28" s="2"/>
      <c r="C28" s="2" t="s">
        <v>235</v>
      </c>
      <c r="D28" s="2" t="s">
        <v>200</v>
      </c>
      <c r="E28" s="2"/>
      <c r="F28" s="2" t="s">
        <v>236</v>
      </c>
    </row>
    <row r="29" customFormat="false" ht="15" hidden="false" customHeight="false" outlineLevel="0" collapsed="false">
      <c r="A29" s="2" t="s">
        <v>237</v>
      </c>
      <c r="B29" s="2"/>
      <c r="C29" s="2" t="s">
        <v>238</v>
      </c>
      <c r="D29" s="2"/>
      <c r="E29" s="2"/>
      <c r="F29" s="2" t="s">
        <v>239</v>
      </c>
    </row>
    <row r="30" customFormat="false" ht="15" hidden="false" customHeight="false" outlineLevel="0" collapsed="false">
      <c r="A30" s="2" t="s">
        <v>240</v>
      </c>
      <c r="B30" s="2"/>
      <c r="C30" s="2" t="s">
        <v>238</v>
      </c>
      <c r="D30" s="2"/>
      <c r="E30" s="2"/>
      <c r="F30" s="2" t="s">
        <v>241</v>
      </c>
    </row>
    <row r="31" customFormat="false" ht="15" hidden="false" customHeight="false" outlineLevel="0" collapsed="false">
      <c r="A31" s="2" t="s">
        <v>242</v>
      </c>
      <c r="B31" s="2"/>
      <c r="C31" s="2" t="s">
        <v>238</v>
      </c>
      <c r="D31" s="2"/>
      <c r="E31" s="2"/>
      <c r="F31" s="2" t="s">
        <v>243</v>
      </c>
    </row>
    <row r="32" customFormat="false" ht="15" hidden="false" customHeight="false" outlineLevel="0" collapsed="false">
      <c r="A32" s="2"/>
      <c r="B32" s="2"/>
      <c r="C32" s="2"/>
      <c r="D32" s="2"/>
      <c r="E32" s="2"/>
      <c r="F32" s="2"/>
    </row>
    <row r="33" customFormat="false" ht="15" hidden="false" customHeight="false" outlineLevel="0" collapsed="false">
      <c r="A33" s="7" t="s">
        <v>244</v>
      </c>
      <c r="B33" s="2"/>
      <c r="C33" s="2"/>
      <c r="D33" s="2"/>
      <c r="E33" s="2"/>
      <c r="F33" s="2"/>
    </row>
    <row r="34" customFormat="false" ht="15" hidden="false" customHeight="false" outlineLevel="0" collapsed="false">
      <c r="A34" s="7" t="s">
        <v>0</v>
      </c>
      <c r="B34" s="7" t="s">
        <v>6</v>
      </c>
      <c r="C34" s="7" t="s">
        <v>245</v>
      </c>
      <c r="D34" s="2"/>
      <c r="E34" s="2"/>
      <c r="F34" s="2"/>
    </row>
    <row r="35" customFormat="false" ht="15" hidden="false" customHeight="false" outlineLevel="0" collapsed="false">
      <c r="A35" s="2" t="s">
        <v>246</v>
      </c>
      <c r="B35" s="3" t="n">
        <v>39890</v>
      </c>
      <c r="C35" s="2" t="s">
        <v>247</v>
      </c>
      <c r="D35" s="2"/>
      <c r="E35" s="2"/>
      <c r="F35" s="2"/>
    </row>
    <row r="36" customFormat="false" ht="15" hidden="false" customHeight="false" outlineLevel="0" collapsed="false">
      <c r="A36" s="2" t="s">
        <v>248</v>
      </c>
      <c r="B36" s="3" t="n">
        <v>16863</v>
      </c>
      <c r="C36" s="2" t="s">
        <v>249</v>
      </c>
      <c r="D36" s="2"/>
      <c r="E36" s="2"/>
      <c r="F36" s="2"/>
    </row>
    <row r="37" customFormat="false" ht="15" hidden="false" customHeight="false" outlineLevel="0" collapsed="false">
      <c r="A37" s="2" t="s">
        <v>250</v>
      </c>
      <c r="B37" s="3" t="n">
        <v>10912</v>
      </c>
      <c r="C37" s="2" t="s">
        <v>251</v>
      </c>
      <c r="D37" s="2"/>
      <c r="E37" s="2"/>
      <c r="F37" s="2"/>
    </row>
    <row r="38" customFormat="false" ht="15" hidden="false" customHeight="false" outlineLevel="0" collapsed="false">
      <c r="A38" s="2" t="s">
        <v>252</v>
      </c>
      <c r="B38" s="3" t="n">
        <v>9722</v>
      </c>
      <c r="C38" s="2" t="s">
        <v>253</v>
      </c>
      <c r="D38" s="2"/>
      <c r="E38" s="2"/>
      <c r="F38" s="2"/>
    </row>
    <row r="39" customFormat="false" ht="15" hidden="false" customHeight="false" outlineLevel="0" collapsed="false">
      <c r="A39" s="2" t="s">
        <v>254</v>
      </c>
      <c r="B39" s="3" t="n">
        <v>5522</v>
      </c>
      <c r="C39" s="2" t="s">
        <v>255</v>
      </c>
      <c r="D39" s="2"/>
      <c r="E39" s="2"/>
      <c r="F39" s="2"/>
    </row>
    <row r="40" customFormat="false" ht="15" hidden="false" customHeight="false" outlineLevel="0" collapsed="false">
      <c r="A40" s="2"/>
      <c r="B40" s="2"/>
      <c r="C40" s="2"/>
      <c r="D40" s="2"/>
      <c r="E40" s="2"/>
      <c r="F40" s="2"/>
    </row>
    <row r="41" customFormat="false" ht="15" hidden="false" customHeight="false" outlineLevel="0" collapsed="false">
      <c r="A41" s="7" t="s">
        <v>256</v>
      </c>
      <c r="B41" s="2"/>
      <c r="C41" s="2"/>
      <c r="D41" s="2"/>
      <c r="E41" s="2"/>
      <c r="F41" s="2"/>
    </row>
    <row r="42" customFormat="false" ht="15" hidden="false" customHeight="false" outlineLevel="0" collapsed="false">
      <c r="A42" s="7" t="s">
        <v>0</v>
      </c>
      <c r="B42" s="7" t="s">
        <v>1</v>
      </c>
      <c r="C42" s="7" t="s">
        <v>257</v>
      </c>
      <c r="D42" s="7" t="s">
        <v>258</v>
      </c>
      <c r="E42" s="2"/>
      <c r="F42" s="2"/>
    </row>
    <row r="43" customFormat="false" ht="15" hidden="false" customHeight="false" outlineLevel="0" collapsed="false">
      <c r="A43" s="2" t="s">
        <v>49</v>
      </c>
      <c r="B43" s="2" t="s">
        <v>55</v>
      </c>
      <c r="C43" s="2" t="s">
        <v>259</v>
      </c>
      <c r="D43" s="2" t="s">
        <v>260</v>
      </c>
      <c r="E43" s="2"/>
      <c r="F43" s="2"/>
    </row>
    <row r="44" customFormat="false" ht="15" hidden="false" customHeight="false" outlineLevel="0" collapsed="false">
      <c r="A44" s="2" t="s">
        <v>60</v>
      </c>
      <c r="B44" s="2" t="s">
        <v>64</v>
      </c>
      <c r="C44" s="2" t="s">
        <v>259</v>
      </c>
      <c r="D44" s="2" t="s">
        <v>261</v>
      </c>
      <c r="E44" s="2"/>
      <c r="F44" s="2"/>
    </row>
    <row r="45" customFormat="false" ht="15" hidden="false" customHeight="false" outlineLevel="0" collapsed="false">
      <c r="A45" s="2" t="s">
        <v>104</v>
      </c>
      <c r="B45" s="2" t="s">
        <v>107</v>
      </c>
      <c r="C45" s="2" t="s">
        <v>259</v>
      </c>
      <c r="D45" s="2" t="s">
        <v>262</v>
      </c>
      <c r="E45" s="2"/>
      <c r="F45" s="2"/>
    </row>
    <row r="46" customFormat="false" ht="15" hidden="false" customHeight="false" outlineLevel="0" collapsed="false">
      <c r="A46" s="2" t="s">
        <v>139</v>
      </c>
      <c r="B46" s="2" t="s">
        <v>142</v>
      </c>
      <c r="C46" s="2" t="s">
        <v>259</v>
      </c>
      <c r="D46" s="2" t="s">
        <v>262</v>
      </c>
      <c r="E46" s="2"/>
      <c r="F46" s="2"/>
    </row>
    <row r="47" customFormat="false" ht="15" hidden="false" customHeight="false" outlineLevel="0" collapsed="false">
      <c r="A47" s="2" t="s">
        <v>167</v>
      </c>
      <c r="B47" s="2" t="s">
        <v>168</v>
      </c>
      <c r="C47" s="2" t="s">
        <v>259</v>
      </c>
      <c r="D47" s="2" t="s">
        <v>263</v>
      </c>
      <c r="E47" s="2"/>
      <c r="F47" s="2"/>
    </row>
    <row r="48" customFormat="false" ht="15" hidden="false" customHeight="false" outlineLevel="0" collapsed="false">
      <c r="A48" s="2" t="s">
        <v>70</v>
      </c>
      <c r="B48" s="2" t="s">
        <v>76</v>
      </c>
      <c r="C48" s="2" t="s">
        <v>5</v>
      </c>
      <c r="D48" s="2" t="s">
        <v>264</v>
      </c>
      <c r="E48" s="2"/>
      <c r="F48" s="2"/>
    </row>
    <row r="49" customFormat="false" ht="15" hidden="false" customHeight="false" outlineLevel="0" collapsed="false">
      <c r="A49" s="2" t="s">
        <v>93</v>
      </c>
      <c r="B49" s="2" t="s">
        <v>96</v>
      </c>
      <c r="C49" s="2" t="s">
        <v>5</v>
      </c>
      <c r="D49" s="2" t="s">
        <v>264</v>
      </c>
      <c r="E49" s="2"/>
      <c r="F49" s="2"/>
    </row>
    <row r="50" customFormat="false" ht="15" hidden="false" customHeight="false" outlineLevel="0" collapsed="false">
      <c r="A50" s="2" t="s">
        <v>129</v>
      </c>
      <c r="B50" s="2" t="s">
        <v>132</v>
      </c>
      <c r="C50" s="2" t="s">
        <v>5</v>
      </c>
      <c r="D50" s="2" t="s">
        <v>264</v>
      </c>
      <c r="E50" s="2"/>
      <c r="F50" s="2"/>
    </row>
    <row r="51" customFormat="false" ht="15" hidden="false" customHeight="false" outlineLevel="0" collapsed="false">
      <c r="A51" s="2" t="s">
        <v>129</v>
      </c>
      <c r="B51" s="2" t="s">
        <v>134</v>
      </c>
      <c r="C51" s="2" t="s">
        <v>5</v>
      </c>
      <c r="D51" s="2" t="s">
        <v>265</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7" t="s">
        <v>266</v>
      </c>
      <c r="B53" s="2"/>
      <c r="C53" s="2"/>
      <c r="D53" s="2"/>
      <c r="E53" s="2"/>
      <c r="F53" s="2"/>
    </row>
    <row r="54" customFormat="false" ht="15" hidden="false" customHeight="false" outlineLevel="0" collapsed="false">
      <c r="A54" s="2" t="s">
        <v>267</v>
      </c>
      <c r="B54" s="2"/>
      <c r="C54" s="2"/>
      <c r="D54" s="2"/>
      <c r="E54" s="2"/>
      <c r="F54" s="2"/>
    </row>
    <row r="55" customFormat="false" ht="15" hidden="false" customHeight="false" outlineLevel="0" collapsed="false">
      <c r="A55" s="2" t="s">
        <v>268</v>
      </c>
      <c r="B55" s="2"/>
      <c r="C55" s="2"/>
      <c r="D55" s="2"/>
      <c r="E55" s="2"/>
      <c r="F55" s="2"/>
    </row>
    <row r="56" customFormat="false" ht="15" hidden="false" customHeight="false" outlineLevel="0" collapsed="false">
      <c r="A56" s="2" t="s">
        <v>269</v>
      </c>
      <c r="B56" s="2"/>
      <c r="C56" s="2"/>
      <c r="D56" s="2"/>
      <c r="E56" s="2"/>
      <c r="F56" s="2"/>
    </row>
    <row r="57" customFormat="false" ht="15" hidden="false" customHeight="false" outlineLevel="0" collapsed="false">
      <c r="A57" s="2" t="s">
        <v>270</v>
      </c>
      <c r="B57" s="2"/>
      <c r="C57" s="2"/>
      <c r="D57" s="2"/>
      <c r="E57" s="2"/>
      <c r="F57" s="2"/>
    </row>
    <row r="58" customFormat="false" ht="15" hidden="false" customHeight="false" outlineLevel="0" collapsed="false">
      <c r="A58" s="2" t="s">
        <v>271</v>
      </c>
      <c r="B58" s="2"/>
      <c r="C58" s="2"/>
      <c r="D58" s="2"/>
      <c r="E58" s="2"/>
      <c r="F58" s="2"/>
    </row>
    <row r="59" customFormat="false" ht="15" hidden="false" customHeight="false" outlineLevel="0" collapsed="false">
      <c r="A59" s="2" t="s">
        <v>272</v>
      </c>
      <c r="B59" s="2"/>
      <c r="C59" s="2"/>
      <c r="D59" s="2"/>
      <c r="E59" s="2"/>
      <c r="F59" s="2"/>
    </row>
    <row r="60" customFormat="false" ht="15" hidden="false" customHeight="false" outlineLevel="0" collapsed="false">
      <c r="A60" s="2" t="s">
        <v>273</v>
      </c>
      <c r="B60" s="2"/>
      <c r="C60" s="2"/>
      <c r="D60" s="2"/>
      <c r="E60" s="2"/>
      <c r="F60" s="2"/>
    </row>
    <row r="61" customFormat="false" ht="15" hidden="false" customHeight="false" outlineLevel="0" collapsed="false">
      <c r="A61" s="2" t="s">
        <v>274</v>
      </c>
      <c r="B61" s="2"/>
      <c r="C61" s="2"/>
      <c r="D61" s="2"/>
      <c r="E61" s="2"/>
      <c r="F61" s="2"/>
    </row>
    <row r="62" customFormat="false" ht="15" hidden="false" customHeight="false" outlineLevel="0" collapsed="false">
      <c r="A62" s="2" t="s">
        <v>275</v>
      </c>
      <c r="B62" s="2"/>
      <c r="C62" s="2"/>
      <c r="D62" s="2"/>
      <c r="E62" s="2"/>
      <c r="F62" s="2"/>
    </row>
    <row r="63" customFormat="false" ht="15" hidden="false" customHeight="false" outlineLevel="0" collapsed="false">
      <c r="A63" s="2" t="s">
        <v>276</v>
      </c>
      <c r="B63" s="2"/>
      <c r="C63" s="2"/>
      <c r="D63" s="2"/>
      <c r="E63" s="2"/>
      <c r="F63" s="2"/>
    </row>
    <row r="64" customFormat="false" ht="15" hidden="false" customHeight="false" outlineLevel="0" collapsed="false">
      <c r="A64" s="2" t="s">
        <v>277</v>
      </c>
      <c r="B64" s="2"/>
      <c r="C64" s="2"/>
      <c r="D64" s="2"/>
      <c r="E64" s="2"/>
      <c r="F64" s="2"/>
    </row>
    <row r="65" customFormat="false" ht="15" hidden="false" customHeight="false" outlineLevel="0" collapsed="false">
      <c r="A65" s="2" t="s">
        <v>278</v>
      </c>
      <c r="B65" s="2"/>
      <c r="C65" s="2"/>
      <c r="D65" s="2"/>
      <c r="E65" s="2"/>
      <c r="F65" s="2"/>
    </row>
    <row r="66" customFormat="false" ht="15" hidden="false" customHeight="false" outlineLevel="0" collapsed="false">
      <c r="A66" s="2" t="s">
        <v>279</v>
      </c>
      <c r="B66" s="2"/>
      <c r="C66" s="2"/>
      <c r="D66" s="2"/>
      <c r="E66" s="2"/>
      <c r="F6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2026-08-20T19:33:01Z</dcterms:created>
  <dc:creator>openpyxl</dc:creator>
  <dc:description/>
  <dc:language>en-US</dc:language>
  <cp:lastModifiedBy/>
  <dcterms:modified xsi:type="dcterms:W3CDTF">2026-08-20T19:33:01Z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